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R\DeshBoards Harshal\"/>
    </mc:Choice>
  </mc:AlternateContent>
  <xr:revisionPtr revIDLastSave="0" documentId="13_ncr:1_{5F462764-5F11-474B-B48A-4E1C88A5D796}" xr6:coauthVersionLast="47" xr6:coauthVersionMax="47" xr10:uidLastSave="{00000000-0000-0000-0000-000000000000}"/>
  <bookViews>
    <workbookView xWindow="-108" yWindow="-108" windowWidth="23256" windowHeight="13176" activeTab="4" xr2:uid="{1CE26335-6FEC-4316-A947-CEB57EBA0D09}"/>
  </bookViews>
  <sheets>
    <sheet name="Break" sheetId="1" r:id="rId1"/>
    <sheet name="Efficiancy" sheetId="2" r:id="rId2"/>
    <sheet name="Over All Information" sheetId="3" r:id="rId3"/>
    <sheet name="Summry" sheetId="4" r:id="rId4"/>
    <sheet name="DeshBoard" sheetId="7" r:id="rId5"/>
  </sheets>
  <definedNames>
    <definedName name="B_Table">Break!$A$1:$I$150</definedName>
    <definedName name="E_Table">Efficiancy!$A$1:$Q$150</definedName>
    <definedName name="O_Table">'Over All Information'!$A$1:$J$150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3" i="4"/>
  <c r="B4" i="4"/>
  <c r="B5" i="4"/>
  <c r="B6" i="4"/>
  <c r="B7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<sst xmlns="http://schemas.openxmlformats.org/spreadsheetml/2006/main" count="2447" uniqueCount="1014">
  <si>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</si>
  <si>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</si>
  <si>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</si>
  <si>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</si>
  <si>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</si>
  <si>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</si>
  <si>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</si>
  <si>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</si>
  <si>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</si>
  <si>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</si>
  <si>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</si>
  <si>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</si>
  <si>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</si>
  <si>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</si>
  <si>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</si>
  <si>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</si>
  <si>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</si>
  <si>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</si>
  <si>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</si>
  <si>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</si>
  <si>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</si>
  <si>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</si>
  <si>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</si>
  <si>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</si>
  <si>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</si>
  <si>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</si>
  <si>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</si>
  <si>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</si>
  <si>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</si>
  <si>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</si>
  <si>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</si>
  <si>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</si>
  <si>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</si>
  <si>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</si>
  <si>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</si>
  <si>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</si>
  <si>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</si>
  <si>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</si>
  <si>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</si>
  <si>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</si>
  <si>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</si>
  <si>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</si>
  <si>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</si>
  <si>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</si>
  <si>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</si>
  <si>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</si>
  <si>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</si>
  <si>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</si>
  <si>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</si>
  <si>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</si>
  <si>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</si>
  <si>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</si>
  <si>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</si>
  <si>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</si>
  <si>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</si>
  <si>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</si>
  <si>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</si>
  <si>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</si>
  <si>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</si>
  <si>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</si>
  <si>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</si>
  <si>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</si>
  <si>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</si>
  <si>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</si>
  <si>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</si>
  <si>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</si>
  <si>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</si>
  <si>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</si>
  <si>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</si>
  <si>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</si>
  <si>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</si>
  <si>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</si>
  <si>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</si>
  <si>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</si>
  <si>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</si>
  <si>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</si>
  <si>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</si>
  <si>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</si>
  <si>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</si>
  <si>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</si>
  <si>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</si>
  <si>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</si>
  <si>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</si>
  <si>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</si>
  <si>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</si>
  <si>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</si>
  <si>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</si>
  <si>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</si>
  <si>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</si>
  <si>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</si>
  <si>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</si>
  <si>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</si>
  <si>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</si>
  <si>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</si>
  <si>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</si>
  <si>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</si>
  <si>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</si>
  <si>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</si>
  <si>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</si>
  <si>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</si>
  <si>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</si>
  <si>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</si>
  <si>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</si>
  <si>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</si>
  <si>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</si>
  <si>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</si>
  <si>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</si>
  <si>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</si>
  <si>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</si>
  <si>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</si>
  <si>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</si>
  <si>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</si>
  <si>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</si>
  <si>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</si>
  <si>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</si>
  <si>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</si>
  <si>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</si>
  <si>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</si>
  <si>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</si>
  <si>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</si>
  <si>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</si>
  <si>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</si>
  <si>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</si>
  <si>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</si>
  <si>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</si>
  <si>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</si>
  <si>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</si>
  <si>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</si>
  <si>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</si>
  <si>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</si>
  <si>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</si>
  <si>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</si>
  <si>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</si>
  <si>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</si>
  <si>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</si>
  <si>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</si>
  <si>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</si>
  <si>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</si>
  <si>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</si>
  <si>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</si>
  <si>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</si>
  <si>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</si>
  <si>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</si>
  <si>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</si>
  <si>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</si>
  <si>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</si>
  <si>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</si>
  <si>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</si>
  <si>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</si>
  <si>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</si>
  <si>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</si>
  <si>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</si>
  <si>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</si>
  <si>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</si>
  <si>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</si>
  <si>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</si>
  <si>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</si>
  <si>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</si>
  <si>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</si>
  <si>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</si>
  <si>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</si>
  <si>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</si>
  <si>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</si>
  <si>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</si>
  <si>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</si>
  <si>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</si>
  <si>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</si>
  <si>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</si>
  <si>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</si>
  <si>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</si>
  <si>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</si>
  <si>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</si>
  <si>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</si>
  <si>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</si>
  <si>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</si>
  <si>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</si>
  <si>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</si>
  <si>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</si>
  <si>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</si>
  <si>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</si>
  <si>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</si>
  <si>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</si>
  <si>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</si>
  <si>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</si>
  <si>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</si>
  <si>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</si>
  <si>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</si>
  <si>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</si>
  <si>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</si>
  <si>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</si>
  <si>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</si>
  <si>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</si>
  <si>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</si>
  <si>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</si>
  <si>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</si>
  <si>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</si>
  <si>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</si>
  <si>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</si>
  <si>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</si>
  <si>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</si>
  <si>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</si>
  <si>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</si>
  <si>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</si>
  <si>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</si>
  <si>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</si>
  <si>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</si>
  <si>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</si>
  <si>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</si>
  <si>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</si>
  <si>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</si>
  <si>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</si>
  <si>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</si>
  <si>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</si>
  <si>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</si>
  <si>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</si>
  <si>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</si>
  <si>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</si>
  <si>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</si>
  <si>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</si>
  <si>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</si>
  <si>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</si>
  <si>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</si>
  <si>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</si>
  <si>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</si>
  <si>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</si>
  <si>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</si>
  <si>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</si>
  <si>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</si>
  <si>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</si>
  <si>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</si>
  <si>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</si>
  <si>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</si>
  <si>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</si>
  <si>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</si>
  <si>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</si>
  <si>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</si>
  <si>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</si>
  <si>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</si>
  <si>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</si>
  <si>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</si>
  <si>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</si>
  <si>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</si>
  <si>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</si>
  <si>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</si>
  <si>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</si>
  <si>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</si>
  <si>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</si>
  <si>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</si>
  <si>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</si>
  <si>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</si>
  <si>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</si>
  <si>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</si>
  <si>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</si>
  <si>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</si>
  <si>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</si>
  <si>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</si>
  <si>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</si>
  <si>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</si>
  <si>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</si>
  <si>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</si>
  <si>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</si>
  <si>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</si>
  <si>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</si>
  <si>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</si>
  <si>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</si>
  <si>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</si>
  <si>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</si>
  <si>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</si>
  <si>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</si>
  <si>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</si>
  <si>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</si>
  <si>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</si>
  <si>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</si>
  <si>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</si>
  <si>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</si>
  <si>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</si>
  <si>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</si>
  <si>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</si>
  <si>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</si>
  <si>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</si>
  <si>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</si>
  <si>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</si>
  <si>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</si>
  <si>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</si>
  <si>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</si>
  <si>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</si>
  <si>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</si>
  <si>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</si>
  <si>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</si>
  <si>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</si>
  <si>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</si>
  <si>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</si>
  <si>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</si>
  <si>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</si>
  <si>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</si>
  <si>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</si>
  <si>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</si>
  <si>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</si>
  <si>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</si>
  <si>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</si>
  <si>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</si>
  <si>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</si>
  <si>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</si>
  <si>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</si>
  <si>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</si>
  <si>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</si>
  <si>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</si>
  <si>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</si>
  <si>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</si>
  <si>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</si>
  <si>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</si>
  <si>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</si>
  <si>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</si>
  <si>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</si>
  <si>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</si>
  <si>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</si>
  <si>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</si>
  <si>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</si>
  <si>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</si>
  <si>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</si>
  <si>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</si>
  <si>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</si>
  <si>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</si>
  <si>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</si>
  <si>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</si>
  <si>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</si>
  <si>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</si>
  <si>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</si>
  <si>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</si>
  <si>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</si>
  <si>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</si>
  <si>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</si>
  <si>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</si>
  <si>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</si>
  <si>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</si>
  <si>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</si>
  <si>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</si>
  <si>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</si>
  <si>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</si>
  <si>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</si>
  <si>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</si>
  <si>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</si>
  <si>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</si>
  <si>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</si>
  <si>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</si>
  <si>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</si>
  <si>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</si>
  <si>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</si>
  <si>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</si>
  <si>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</si>
  <si>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</si>
  <si>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</si>
  <si>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</si>
  <si>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</si>
  <si>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</si>
  <si>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</si>
  <si>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</si>
  <si>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</si>
  <si>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</si>
  <si>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</si>
  <si>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</si>
  <si>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</si>
  <si>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</si>
  <si>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</si>
  <si>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</si>
  <si>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</si>
  <si>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</si>
  <si>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</si>
  <si>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</si>
  <si>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</si>
  <si>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</si>
  <si>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</si>
  <si>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</si>
  <si>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</si>
  <si>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</si>
  <si>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</si>
  <si>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</si>
  <si>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</si>
  <si>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</si>
  <si>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</si>
  <si>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</si>
  <si>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</si>
  <si>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</si>
  <si>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</si>
  <si>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</si>
  <si>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</si>
  <si>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</si>
  <si>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</si>
  <si>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</si>
  <si>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</si>
  <si>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</si>
  <si>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</si>
  <si>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</si>
  <si>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</si>
  <si>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</si>
  <si>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</si>
  <si>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</si>
  <si>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</si>
  <si>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</si>
  <si>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</si>
  <si>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</si>
  <si>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</si>
  <si>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</si>
  <si>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</si>
  <si>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</si>
  <si>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</si>
  <si>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</si>
  <si>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</si>
  <si>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</si>
  <si>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</si>
  <si>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</si>
  <si>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</si>
  <si>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</si>
  <si>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</si>
  <si>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</si>
  <si>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</si>
  <si>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</si>
  <si>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</si>
  <si>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</si>
  <si>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</si>
  <si>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</si>
  <si>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</si>
  <si>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</si>
  <si>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</si>
  <si>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</si>
  <si>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</si>
  <si>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</si>
  <si>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</si>
  <si>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</si>
  <si>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</si>
  <si>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</si>
  <si>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</si>
  <si>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</si>
  <si>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</si>
  <si>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</si>
  <si>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</si>
  <si>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</si>
  <si>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</si>
  <si>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</si>
  <si>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</si>
  <si>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</si>
  <si>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</si>
  <si>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</si>
  <si>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</si>
  <si>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</si>
  <si>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</si>
  <si>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</si>
  <si>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</si>
  <si>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</si>
  <si>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</si>
  <si>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</si>
  <si>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</si>
  <si>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</si>
  <si>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</si>
  <si>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</si>
  <si>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</si>
  <si>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</si>
  <si>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</si>
  <si>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</si>
  <si>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</si>
  <si>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</si>
  <si>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</si>
  <si>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</si>
  <si>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</si>
  <si>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</si>
  <si>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</si>
  <si>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</si>
  <si>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</si>
  <si>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</si>
  <si>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</si>
  <si>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</si>
  <si>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</si>
  <si>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</si>
  <si>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</si>
  <si>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</si>
  <si>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</si>
  <si>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</si>
  <si>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</si>
  <si>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</si>
  <si>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</si>
  <si>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</si>
  <si>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</si>
  <si>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</si>
  <si>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</si>
  <si>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</si>
  <si>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</si>
  <si>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</si>
  <si>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</si>
  <si>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</si>
  <si>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</si>
  <si>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</si>
  <si>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</si>
  <si>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</si>
  <si>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</si>
  <si>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</si>
  <si>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</si>
  <si>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</si>
  <si>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</si>
  <si>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</si>
  <si>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</si>
  <si>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</si>
  <si>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</si>
  <si>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</si>
  <si>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</si>
  <si>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</si>
  <si>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</si>
  <si>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</si>
  <si>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</si>
  <si>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</si>
  <si>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</si>
  <si>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</si>
  <si>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</si>
  <si>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</si>
  <si>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</si>
  <si>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</si>
  <si>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</si>
  <si>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</si>
  <si>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</si>
  <si>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</si>
  <si>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</si>
  <si>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</si>
  <si>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</si>
  <si>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</si>
  <si>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</si>
  <si>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</si>
  <si>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</si>
  <si>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</si>
  <si>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</si>
  <si>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</si>
  <si>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</si>
  <si>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</si>
  <si>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</si>
  <si>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</si>
  <si>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</si>
  <si>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</si>
  <si>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</si>
  <si>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</si>
  <si>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</si>
  <si>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</si>
  <si>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</si>
  <si>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</si>
  <si>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</si>
  <si>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</si>
  <si>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</si>
  <si>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</si>
  <si>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</si>
  <si>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</si>
  <si>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</si>
  <si>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</si>
  <si>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</si>
  <si>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</si>
  <si>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</si>
  <si>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</si>
  <si>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</si>
  <si>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</si>
  <si>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</si>
  <si>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</si>
  <si>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</si>
  <si>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</si>
  <si>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</si>
  <si>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</si>
  <si>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</si>
  <si>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</si>
  <si>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</si>
  <si>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</si>
  <si>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</si>
  <si>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</si>
  <si>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</si>
  <si>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</si>
  <si>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</si>
  <si>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</si>
  <si>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</si>
  <si>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</si>
  <si>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</si>
  <si>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</si>
  <si>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</si>
  <si>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</si>
  <si>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</si>
  <si>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</si>
  <si>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</si>
  <si>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</si>
  <si>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</si>
  <si>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</si>
  <si>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</si>
  <si>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</si>
  <si>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</si>
  <si>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</si>
  <si>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</si>
  <si>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</si>
  <si>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</si>
  <si>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</si>
  <si>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</si>
  <si>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</si>
  <si>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</si>
  <si>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</si>
  <si>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</si>
  <si>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</si>
  <si>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</si>
  <si>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</si>
  <si>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</si>
  <si>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</si>
  <si>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</si>
  <si>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</si>
  <si>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</si>
  <si>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</si>
  <si>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</si>
  <si>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</si>
  <si>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</si>
  <si>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</si>
  <si>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</si>
  <si>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</si>
  <si>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</si>
  <si>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</si>
  <si>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</si>
  <si>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</si>
  <si>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</si>
  <si>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</si>
  <si>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</si>
  <si>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</si>
  <si>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</si>
  <si>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</si>
  <si>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</si>
  <si>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</si>
  <si>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</si>
  <si>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</si>
  <si>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</si>
  <si>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</si>
  <si>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</si>
  <si>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</si>
  <si>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</si>
  <si>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</si>
  <si>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</si>
  <si>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</si>
  <si>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</si>
  <si>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</si>
  <si>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</si>
  <si>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</si>
  <si>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</si>
  <si>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</si>
  <si>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</si>
  <si>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</si>
  <si>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</si>
  <si>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</si>
  <si>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</si>
  <si>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</si>
  <si>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</si>
  <si>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</si>
  <si>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</si>
  <si>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</si>
  <si>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</si>
  <si>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</si>
  <si>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</si>
  <si>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</si>
  <si>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</si>
  <si>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</si>
  <si>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</si>
  <si>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</si>
  <si>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</si>
  <si>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</si>
  <si>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</si>
  <si>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</si>
  <si>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</si>
  <si>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</si>
  <si>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</si>
  <si>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</si>
  <si>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</si>
  <si>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</si>
  <si>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</si>
  <si>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</si>
  <si>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</si>
  <si>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</si>
  <si>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</si>
  <si>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</si>
  <si>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</si>
  <si>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</si>
  <si>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</si>
  <si>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</si>
  <si>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</si>
  <si>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</si>
  <si>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</si>
  <si>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</si>
  <si>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</si>
  <si>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</si>
  <si>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</si>
  <si>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</si>
  <si>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</si>
  <si>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</si>
  <si>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</si>
  <si>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</si>
  <si>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</si>
  <si>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</si>
  <si>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</si>
  <si>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</si>
  <si>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</si>
  <si>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</si>
  <si>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</si>
  <si>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</si>
  <si>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</si>
  <si>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</si>
  <si>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</si>
  <si>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</si>
  <si>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</si>
  <si>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</si>
  <si>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</si>
  <si>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</si>
  <si>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</si>
  <si>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</si>
  <si>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</si>
  <si>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</si>
  <si>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</si>
  <si>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</si>
  <si>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</si>
  <si>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</si>
  <si>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</si>
  <si>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</si>
  <si>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</si>
  <si>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</si>
  <si>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</si>
  <si>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</si>
  <si>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</si>
  <si>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</si>
  <si>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</si>
  <si>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</si>
  <si>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</si>
  <si>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</si>
  <si>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</si>
  <si>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</si>
  <si>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</si>
  <si>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</si>
  <si>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</si>
  <si>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</si>
  <si>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</si>
  <si>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</si>
  <si>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</si>
  <si>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</si>
  <si>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</si>
  <si>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</si>
  <si>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</si>
  <si>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</si>
  <si>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</si>
  <si>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</si>
  <si>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</si>
  <si>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</si>
  <si>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</si>
  <si>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</si>
  <si>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</si>
  <si>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</si>
  <si>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</si>
  <si>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</si>
  <si>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</si>
  <si>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</si>
  <si>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</si>
  <si>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</si>
  <si>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</si>
  <si>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</si>
  <si>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</si>
  <si>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</si>
  <si>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</si>
  <si>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</si>
  <si>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</si>
  <si>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</si>
  <si>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</si>
  <si>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</si>
  <si>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</si>
  <si>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</si>
  <si>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</si>
  <si>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</si>
  <si>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</si>
  <si>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</si>
  <si>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</si>
  <si>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</si>
  <si>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</si>
  <si>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</si>
  <si>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</si>
  <si>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</si>
  <si>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</si>
  <si>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</si>
  <si>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</si>
  <si>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</si>
  <si>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</si>
  <si>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</si>
  <si>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</si>
  <si>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</si>
  <si>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</si>
  <si>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</si>
  <si>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</si>
  <si>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</si>
  <si>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</si>
  <si>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</si>
  <si>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</si>
  <si>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</si>
  <si>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</si>
  <si>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</si>
  <si>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</si>
  <si>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</si>
  <si>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</si>
  <si>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</si>
  <si>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</si>
  <si>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</si>
  <si>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</si>
  <si>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</si>
  <si>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</si>
  <si>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</si>
  <si>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</si>
  <si>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</si>
  <si>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</si>
  <si>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</si>
  <si>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</si>
  <si>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</si>
  <si>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</si>
  <si>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</si>
  <si>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</si>
  <si>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</si>
  <si>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</si>
  <si>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</si>
  <si>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</si>
  <si>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</si>
  <si>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</si>
  <si>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</si>
  <si>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</si>
  <si>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</si>
  <si>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</si>
  <si>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</si>
  <si>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</si>
  <si>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</si>
  <si>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</si>
  <si>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</si>
  <si>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</si>
  <si>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</si>
  <si>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</si>
  <si>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</si>
  <si>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</si>
  <si>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</si>
  <si>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</si>
  <si>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</si>
  <si>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</si>
  <si>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</si>
  <si>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</si>
  <si>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</si>
  <si>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</si>
  <si>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</si>
  <si>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</si>
  <si>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</si>
  <si>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</si>
  <si>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</si>
  <si>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</si>
  <si>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</si>
  <si>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</si>
  <si>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</si>
  <si>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</si>
  <si>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</si>
  <si>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</si>
  <si>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</si>
  <si>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</si>
  <si>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</si>
  <si>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</si>
  <si>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</si>
  <si>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</si>
  <si>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</si>
  <si>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</si>
  <si>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</si>
  <si>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</si>
  <si>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</si>
  <si>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</si>
  <si>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</si>
  <si>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</si>
  <si>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</si>
  <si>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</si>
  <si>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</si>
  <si>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</si>
  <si>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</si>
  <si>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</si>
  <si>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</si>
  <si>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</si>
  <si>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</si>
  <si>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</si>
  <si>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</si>
  <si>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</si>
  <si>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</si>
  <si>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</si>
  <si>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</si>
  <si>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</si>
  <si>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</si>
  <si>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</si>
  <si>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</si>
  <si>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</si>
  <si>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</si>
  <si>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</si>
  <si>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</si>
  <si>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</si>
  <si>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</si>
  <si>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</si>
  <si>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</si>
  <si>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</si>
  <si>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</si>
  <si>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</si>
  <si>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</si>
  <si>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</si>
  <si>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</si>
  <si>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</si>
  <si>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</si>
  <si>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</si>
  <si>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</si>
  <si>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</si>
  <si>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</si>
  <si>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</si>
  <si>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</si>
  <si>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</si>
  <si>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</si>
  <si>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</si>
  <si>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</si>
  <si>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</si>
  <si>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</si>
  <si>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</si>
  <si>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</si>
  <si>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</si>
  <si>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</si>
  <si>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</si>
  <si>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</si>
  <si>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</si>
  <si>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</si>
  <si>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</si>
  <si>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</si>
  <si>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</si>
  <si>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</si>
  <si>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</si>
  <si>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</si>
  <si>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</si>
  <si>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</si>
  <si>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</si>
  <si>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</si>
  <si>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</si>
  <si>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</si>
  <si>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</si>
  <si>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</si>
  <si>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</si>
  <si>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</si>
  <si>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</si>
  <si>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</si>
  <si>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</si>
  <si>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</si>
  <si>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</si>
  <si>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</si>
  <si>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</si>
  <si>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</si>
  <si>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</si>
  <si>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</si>
  <si>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</si>
  <si>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</si>
  <si>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</si>
  <si>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</si>
  <si>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</si>
  <si>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</si>
  <si>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</si>
  <si>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</si>
  <si>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</si>
  <si>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</si>
  <si>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</si>
  <si>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</si>
  <si>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</si>
  <si>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</si>
  <si>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</si>
  <si>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</si>
  <si>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</si>
  <si>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</si>
  <si>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</si>
  <si>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</si>
  <si>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</si>
  <si>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</si>
  <si>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</si>
  <si>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</si>
  <si>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</si>
  <si>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</si>
  <si>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</si>
  <si>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</si>
  <si>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</si>
  <si>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</si>
  <si>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</si>
  <si>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</si>
  <si>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</si>
  <si>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</si>
  <si>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</si>
  <si>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</si>
  <si>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</si>
  <si>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</si>
  <si>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</si>
  <si>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</si>
  <si>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</si>
  <si>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</si>
  <si>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</si>
  <si>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</si>
  <si>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</si>
  <si>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</si>
  <si>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</si>
  <si>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</si>
  <si>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</si>
  <si>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</si>
  <si>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</si>
  <si>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</si>
  <si>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</si>
  <si>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</si>
  <si>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</si>
  <si>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</si>
  <si>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Ashok Kumar</t>
  </si>
  <si>
    <t>Manoj Kumar</t>
  </si>
  <si>
    <t>Rajesh Kumar</t>
  </si>
  <si>
    <t>Santosh Kumar</t>
  </si>
  <si>
    <t>Sunil Kumar</t>
  </si>
  <si>
    <t>Row Labels</t>
  </si>
  <si>
    <t xml:space="preserve">Total Number of woking hours </t>
  </si>
  <si>
    <t>Report 1 Working Hours</t>
  </si>
  <si>
    <t>Report 2 Working Hours</t>
  </si>
  <si>
    <t>Sum of Active With Cust.</t>
  </si>
  <si>
    <t>Anjali Deoram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</si>
</sst>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1"/>
      <color theme="0"/>
      <name val="Algerian"/>
      <family val="5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3" fontId="0" fillId="0" borderId="0" xfId="0" applyNumberFormat="1"/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applyAlignment="1">
      <alignment horizontal="left"/>
    </xf>
    <xf numFmtId="165" fontId="0" fillId="0" borderId="0" xfId="0" pivotButton="1" applyNumberFormat="1"/>
    <xf numFmtId="0" fontId="0" fillId="4" borderId="0" xfId="0" applyFill="1"/>
    <xf numFmtId="0" fontId="8" fillId="0" borderId="0" xfId="0" applyFont="1"/>
    <xf numFmtId="10" fontId="0" fillId="0" borderId="0" xfId="0" applyNumberFormat="1"/>
    <xf numFmtId="0" fontId="7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6">
    <dxf>
      <numFmt numFmtId="14" formatCode="0.00%"/>
    </dxf>
    <dxf>
      <numFmt numFmtId="14" formatCode="0.00%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[Harshal DeshBoard 2.xlsm]DeshBoard!PivotTable2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DeshBoard!$A$5:$A$10</c:f>
              <c:strCache>
                <c:ptCount val="6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DeshBoard!$B$5:$B$10</c:f>
              <c:numCache>
                <c:formatCode>[$-F400]h:mm:ss\ AM/PM</c:formatCode>
                <c:ptCount val="6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D-400A-AE07-63AC4A642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6648672"/>
        <c:axId val="1286643392"/>
      </c:barChart>
      <c:catAx>
        <c:axId val="128664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643392"/>
        <c:crosses val="autoZero"/>
        <c:auto val="1"/>
        <c:lblAlgn val="ctr"/>
        <c:lblOffset val="100"/>
        <c:noMultiLvlLbl val="0"/>
      </c:catAx>
      <c:valAx>
        <c:axId val="128664339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28664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[Harshal DeshBoard 2.xlsm]DeshBoard!PivotTable1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DeshBoard!$E$4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53-4890-83BE-8B2504B621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53-4890-83BE-8B2504B621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153-4890-83BE-8B2504B621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153-4890-83BE-8B2504B6215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153-4890-83BE-8B2504B62153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DeshBoard!$E$5:$E$9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F2-423F-B5C1-D0BF4BC670F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6" fmlaLink="$C$1" max="200" min="1" page="10" val="6"/>
</file>

<file path=xl/ctrlProps/ctrlProp2.xml><?xml version="1.0" encoding="utf-8"?>
<formControlPr xmlns="http://schemas.microsoft.com/office/spreadsheetml/2009/9/main" objectType="Spin" dx="26" fmlaLink="$C$1" max="200" min="1" page="10" val="6"/>
</file>

<file path=xl/ctrlProps/ctrlProp3.xml><?xml version="1.0" encoding="utf-8"?>
<formControlPr xmlns="http://schemas.microsoft.com/office/spreadsheetml/2009/9/main" objectType="Spin" dx="26" fmlaLink="$C$2" max="200" min="1" page="10" val="5"/>
</file>

<file path=xl/ctrlProps/ctrlProp4.xml><?xml version="1.0" encoding="utf-8"?>
<formControlPr xmlns="http://schemas.microsoft.com/office/spreadsheetml/2009/9/main" objectType="Spin" dx="26" fmlaLink="$C$2" max="2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882015</xdr:colOff>
      <xdr:row>0</xdr:row>
      <xdr:rowOff>57853</xdr:rowOff>
    </xdr:from>
    <xdr:to>
      <xdr:col>1</xdr:col>
      <xdr:colOff>1461135</xdr:colOff>
      <xdr:row>1</xdr:row>
      <xdr:rowOff>141673</xdr:rowOff>
    </xdr:to>
    <xdr:sp macro="" textlink="$C$1">
      <xdr:nvSpPr>
        <xdr:cNvPr id="20" name="Rectangle 19">
          <a:extLst>
            <a:ext uri="{FF2B5EF4-FFF2-40B4-BE49-F238E27FC236}">
              <a16:creationId xmlns:a16="http://schemas.microsoft.com/office/drawing/2014/main" id="{36E18552-B596-6BAA-F582-BFD10FC4B696}"/>
            </a:ext>
          </a:extLst>
        </xdr:cNvPr>
        <xdr:cNvSpPr/>
      </xdr:nvSpPr>
      <xdr:spPr>
        <a:xfrm>
          <a:off x="1920176" y="57853"/>
          <a:ext cx="579120" cy="26792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algn="r"/>
          <a:fld id="{59193C01-BA25-4444-91A9-E9E1FB2B4E7B}" type="TxLink">
            <a:rPr lang="en-US" sz="1600" b="0" i="0" u="none" strike="noStrike">
              <a:solidFill>
                <a:srgbClr val="000000"/>
              </a:solidFill>
              <a:latin typeface="Algerian" panose="04020705040A02060702" pitchFamily="82" charset="0"/>
              <a:ea typeface="Calibri"/>
              <a:cs typeface="Calibri"/>
            </a:rPr>
            <a:pPr algn="r"/>
            <a:t>6</a:t>
          </a:fld>
          <a:endParaRPr lang="en-IN" sz="1600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30685</xdr:colOff>
      <xdr:row>9</xdr:row>
      <xdr:rowOff>21425</xdr:rowOff>
    </xdr:from>
    <xdr:to>
      <xdr:col>2</xdr:col>
      <xdr:colOff>5603</xdr:colOff>
      <xdr:row>21</xdr:row>
      <xdr:rowOff>21425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F5017C-FB3B-791D-7489-B093659A60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40409</xdr:colOff>
      <xdr:row>0</xdr:row>
      <xdr:rowOff>34636</xdr:rowOff>
    </xdr:from>
    <xdr:to>
      <xdr:col>1</xdr:col>
      <xdr:colOff>190500</xdr:colOff>
      <xdr:row>1</xdr:row>
      <xdr:rowOff>161637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F38FDC9-AE28-2D9A-D574-A460BE51F771}"/>
            </a:ext>
          </a:extLst>
        </xdr:cNvPr>
        <xdr:cNvSpPr/>
      </xdr:nvSpPr>
      <xdr:spPr>
        <a:xfrm>
          <a:off x="40409" y="34636"/>
          <a:ext cx="1189182" cy="311728"/>
        </a:xfrm>
        <a:prstGeom prst="rightArrow">
          <a:avLst>
            <a:gd name="adj1" fmla="val 100000"/>
            <a:gd name="adj2" fmla="val 50000"/>
          </a:avLst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57600" rtlCol="0" anchor="ctr"/>
        <a:lstStyle/>
        <a:p>
          <a:pPr algn="ctr"/>
          <a:r>
            <a:rPr lang="en-IN" sz="1300" b="1">
              <a:solidFill>
                <a:schemeClr val="tx1"/>
              </a:solidFill>
              <a:latin typeface="Algerian" panose="04020705040A02060702" pitchFamily="82" charset="0"/>
            </a:rPr>
            <a:t>CHART</a:t>
          </a:r>
        </a:p>
      </xdr:txBody>
    </xdr:sp>
    <xdr:clientData/>
  </xdr:twoCellAnchor>
  <xdr:twoCellAnchor editAs="oneCell">
    <xdr:from>
      <xdr:col>1</xdr:col>
      <xdr:colOff>265058</xdr:colOff>
      <xdr:row>0</xdr:row>
      <xdr:rowOff>53865</xdr:rowOff>
    </xdr:from>
    <xdr:to>
      <xdr:col>1</xdr:col>
      <xdr:colOff>669947</xdr:colOff>
      <xdr:row>1</xdr:row>
      <xdr:rowOff>121758</xdr:rowOff>
    </xdr:to>
    <xdr:pic macro="[0]!HideChart">
      <xdr:nvPicPr>
        <xdr:cNvPr id="17" name="Picture 16">
          <a:extLst>
            <a:ext uri="{FF2B5EF4-FFF2-40B4-BE49-F238E27FC236}">
              <a16:creationId xmlns:a16="http://schemas.microsoft.com/office/drawing/2014/main" id="{EFEFDB16-22A7-DD61-131E-878A5BA12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219" y="53865"/>
          <a:ext cx="404889" cy="25200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0</xdr:row>
          <xdr:rowOff>68580</xdr:rowOff>
        </xdr:from>
        <xdr:to>
          <xdr:col>1</xdr:col>
          <xdr:colOff>1043940</xdr:colOff>
          <xdr:row>1</xdr:row>
          <xdr:rowOff>114300</xdr:rowOff>
        </xdr:to>
        <xdr:sp macro="" textlink="">
          <xdr:nvSpPr>
            <xdr:cNvPr id="7170" name="Spinner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1534939</xdr:colOff>
      <xdr:row>0</xdr:row>
      <xdr:rowOff>25521</xdr:rowOff>
    </xdr:from>
    <xdr:to>
      <xdr:col>1</xdr:col>
      <xdr:colOff>2719339</xdr:colOff>
      <xdr:row>1</xdr:row>
      <xdr:rowOff>152824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5AD041F1-7396-683A-5C29-6C0477FDC378}"/>
            </a:ext>
          </a:extLst>
        </xdr:cNvPr>
        <xdr:cNvSpPr/>
      </xdr:nvSpPr>
      <xdr:spPr>
        <a:xfrm flipH="1">
          <a:off x="2570384" y="25521"/>
          <a:ext cx="1184400" cy="309600"/>
        </a:xfrm>
        <a:prstGeom prst="rightArrow">
          <a:avLst>
            <a:gd name="adj1" fmla="val 100000"/>
            <a:gd name="adj2" fmla="val 81230"/>
          </a:avLst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algn="ctr"/>
          <a:r>
            <a:rPr lang="en-IN" sz="1200" b="1">
              <a:solidFill>
                <a:schemeClr val="tx1"/>
              </a:solidFill>
              <a:latin typeface="Algerian" panose="04020705040A02060702" pitchFamily="82" charset="0"/>
            </a:rPr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2461260</xdr:colOff>
          <xdr:row>9</xdr:row>
          <xdr:rowOff>160020</xdr:rowOff>
        </xdr:from>
        <xdr:to>
          <xdr:col>1</xdr:col>
          <xdr:colOff>2651760</xdr:colOff>
          <xdr:row>12</xdr:row>
          <xdr:rowOff>60960</xdr:rowOff>
        </xdr:to>
        <xdr:sp macro="" textlink="">
          <xdr:nvSpPr>
            <xdr:cNvPr id="7171" name="Spinner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890953</xdr:colOff>
      <xdr:row>0</xdr:row>
      <xdr:rowOff>51991</xdr:rowOff>
    </xdr:from>
    <xdr:to>
      <xdr:col>4</xdr:col>
      <xdr:colOff>1461134</xdr:colOff>
      <xdr:row>1</xdr:row>
      <xdr:rowOff>135811</xdr:rowOff>
    </xdr:to>
    <xdr:sp macro="[0]!HarshalRepeat2" textlink="$C$2">
      <xdr:nvSpPr>
        <xdr:cNvPr id="4" name="Rectangle 3">
          <a:extLst>
            <a:ext uri="{FF2B5EF4-FFF2-40B4-BE49-F238E27FC236}">
              <a16:creationId xmlns:a16="http://schemas.microsoft.com/office/drawing/2014/main" id="{65F0FEEC-8937-439E-BC82-79B3BF7C4A41}"/>
            </a:ext>
          </a:extLst>
        </xdr:cNvPr>
        <xdr:cNvSpPr/>
      </xdr:nvSpPr>
      <xdr:spPr>
        <a:xfrm>
          <a:off x="5972907" y="51991"/>
          <a:ext cx="570181" cy="26552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marL="0" indent="0" algn="r"/>
          <a:fld id="{C5A76DC2-EC75-4469-96F5-613212C61338}" type="TxLink">
            <a:rPr lang="en-US" sz="1600" b="0" i="0" u="none" strike="noStrike">
              <a:solidFill>
                <a:srgbClr val="000000"/>
              </a:solidFill>
              <a:latin typeface="Algerian" panose="04020705040A02060702" pitchFamily="82" charset="0"/>
              <a:ea typeface="Calibri"/>
              <a:cs typeface="Calibri"/>
            </a:rPr>
            <a:pPr marL="0" indent="0" algn="r"/>
            <a:t>5</a:t>
          </a:fld>
          <a:endParaRPr lang="en-IN" sz="1600" b="0" i="0" u="none" strike="noStrike">
            <a:solidFill>
              <a:srgbClr val="000000"/>
            </a:solidFill>
            <a:latin typeface="Algerian" panose="04020705040A02060702" pitchFamily="82" charset="0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40409</xdr:colOff>
      <xdr:row>0</xdr:row>
      <xdr:rowOff>29193</xdr:rowOff>
    </xdr:from>
    <xdr:to>
      <xdr:col>4</xdr:col>
      <xdr:colOff>190500</xdr:colOff>
      <xdr:row>1</xdr:row>
      <xdr:rowOff>156194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7E48775A-D2E6-4639-BF5C-B298C6D32E6D}"/>
            </a:ext>
          </a:extLst>
        </xdr:cNvPr>
        <xdr:cNvSpPr/>
      </xdr:nvSpPr>
      <xdr:spPr>
        <a:xfrm>
          <a:off x="4079009" y="29193"/>
          <a:ext cx="1184234" cy="312058"/>
        </a:xfrm>
        <a:prstGeom prst="rightArrow">
          <a:avLst>
            <a:gd name="adj1" fmla="val 100000"/>
            <a:gd name="adj2" fmla="val 50000"/>
          </a:avLst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57600" rtlCol="0" anchor="ctr"/>
        <a:lstStyle/>
        <a:p>
          <a:pPr algn="ctr"/>
          <a:r>
            <a:rPr lang="en-IN" sz="1300" b="1">
              <a:solidFill>
                <a:schemeClr val="tx1"/>
              </a:solidFill>
              <a:latin typeface="Algerian" panose="04020705040A02060702" pitchFamily="82" charset="0"/>
            </a:rPr>
            <a:t>CHART</a:t>
          </a:r>
        </a:p>
      </xdr:txBody>
    </xdr:sp>
    <xdr:clientData/>
  </xdr:twoCellAnchor>
  <xdr:oneCellAnchor>
    <xdr:from>
      <xdr:col>4</xdr:col>
      <xdr:colOff>251690</xdr:colOff>
      <xdr:row>0</xdr:row>
      <xdr:rowOff>47181</xdr:rowOff>
    </xdr:from>
    <xdr:ext cx="404889" cy="252000"/>
    <xdr:pic macro="[0]!HideChart2">
      <xdr:nvPicPr>
        <xdr:cNvPr id="6" name="Picture 5">
          <a:extLst>
            <a:ext uri="{FF2B5EF4-FFF2-40B4-BE49-F238E27FC236}">
              <a16:creationId xmlns:a16="http://schemas.microsoft.com/office/drawing/2014/main" id="{EFC94522-8403-4C45-A088-3E357CFF9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5006" y="47181"/>
          <a:ext cx="404889" cy="25200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oneCellAnchor>
  <xdr:twoCellAnchor>
    <xdr:from>
      <xdr:col>4</xdr:col>
      <xdr:colOff>1534939</xdr:colOff>
      <xdr:row>0</xdr:row>
      <xdr:rowOff>25521</xdr:rowOff>
    </xdr:from>
    <xdr:to>
      <xdr:col>4</xdr:col>
      <xdr:colOff>2719339</xdr:colOff>
      <xdr:row>1</xdr:row>
      <xdr:rowOff>152824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3BDB1544-5603-40F9-BB71-B8B3D06F84BA}"/>
            </a:ext>
          </a:extLst>
        </xdr:cNvPr>
        <xdr:cNvSpPr/>
      </xdr:nvSpPr>
      <xdr:spPr>
        <a:xfrm flipH="1">
          <a:off x="2573100" y="25521"/>
          <a:ext cx="1184400" cy="311410"/>
        </a:xfrm>
        <a:prstGeom prst="rightArrow">
          <a:avLst>
            <a:gd name="adj1" fmla="val 100000"/>
            <a:gd name="adj2" fmla="val 81230"/>
          </a:avLst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algn="ctr"/>
          <a:r>
            <a:rPr lang="en-IN" sz="1200" b="1">
              <a:solidFill>
                <a:schemeClr val="tx1"/>
              </a:solidFill>
              <a:latin typeface="Algerian" panose="04020705040A02060702" pitchFamily="82" charset="0"/>
            </a:rPr>
            <a:t>RECORDS</a:t>
          </a:r>
        </a:p>
      </xdr:txBody>
    </xdr:sp>
    <xdr:clientData/>
  </xdr:twoCellAnchor>
  <xdr:twoCellAnchor editAs="oneCell">
    <xdr:from>
      <xdr:col>1</xdr:col>
      <xdr:colOff>256289</xdr:colOff>
      <xdr:row>0</xdr:row>
      <xdr:rowOff>60200</xdr:rowOff>
    </xdr:from>
    <xdr:to>
      <xdr:col>1</xdr:col>
      <xdr:colOff>663089</xdr:colOff>
      <xdr:row>1</xdr:row>
      <xdr:rowOff>121306</xdr:rowOff>
    </xdr:to>
    <xdr:pic macro="[0]!ShowChart">
      <xdr:nvPicPr>
        <xdr:cNvPr id="14" name="Picture 13" hidden="1">
          <a:extLst>
            <a:ext uri="{FF2B5EF4-FFF2-40B4-BE49-F238E27FC236}">
              <a16:creationId xmlns:a16="http://schemas.microsoft.com/office/drawing/2014/main" id="{3372EEB5-5D70-D9A8-D5F5-273DE7B44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368" y="60200"/>
          <a:ext cx="406800" cy="244492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4</xdr:col>
      <xdr:colOff>264000</xdr:colOff>
      <xdr:row>0</xdr:row>
      <xdr:rowOff>57397</xdr:rowOff>
    </xdr:from>
    <xdr:to>
      <xdr:col>4</xdr:col>
      <xdr:colOff>670800</xdr:colOff>
      <xdr:row>1</xdr:row>
      <xdr:rowOff>119498</xdr:rowOff>
    </xdr:to>
    <xdr:pic macro="[0]!ShowChart2">
      <xdr:nvPicPr>
        <xdr:cNvPr id="15" name="Picture 14" hidden="1">
          <a:extLst>
            <a:ext uri="{FF2B5EF4-FFF2-40B4-BE49-F238E27FC236}">
              <a16:creationId xmlns:a16="http://schemas.microsoft.com/office/drawing/2014/main" id="{A8323F3A-5AB9-4595-9BC6-20CA227D8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4000" y="57397"/>
          <a:ext cx="406800" cy="244803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>
    <xdr:from>
      <xdr:col>3</xdr:col>
      <xdr:colOff>17616</xdr:colOff>
      <xdr:row>9</xdr:row>
      <xdr:rowOff>53803</xdr:rowOff>
    </xdr:from>
    <xdr:to>
      <xdr:col>5</xdr:col>
      <xdr:colOff>2805</xdr:colOff>
      <xdr:row>21</xdr:row>
      <xdr:rowOff>24668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08D9349-5BC7-ACF7-0560-833C8AD6F7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0</xdr:row>
          <xdr:rowOff>53340</xdr:rowOff>
        </xdr:from>
        <xdr:to>
          <xdr:col>4</xdr:col>
          <xdr:colOff>1051560</xdr:colOff>
          <xdr:row>1</xdr:row>
          <xdr:rowOff>106680</xdr:rowOff>
        </xdr:to>
        <xdr:sp macro="" textlink="">
          <xdr:nvSpPr>
            <xdr:cNvPr id="7179" name="Spinner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2468880</xdr:colOff>
          <xdr:row>9</xdr:row>
          <xdr:rowOff>114300</xdr:rowOff>
        </xdr:from>
        <xdr:to>
          <xdr:col>4</xdr:col>
          <xdr:colOff>2659380</xdr:colOff>
          <xdr:row>12</xdr:row>
          <xdr:rowOff>0</xdr:rowOff>
        </xdr:to>
        <xdr:sp macro="" textlink="">
          <xdr:nvSpPr>
            <xdr:cNvPr id="7181" name="Spinner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H HARSHAL" refreshedDate="45860.451022106485" createdVersion="8" refreshedVersion="8" minRefreshableVersion="3" recordCount="149" xr:uid="{857A6719-8425-4454-8F69-311BF93B7BEE}">
  <cacheSource type="worksheet">
    <worksheetSource ref="A1:G150" sheet="Summ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/>
    </cacheField>
    <cacheField name="Attended Calls" numFmtId="3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s v="01:08:42"/>
    <n v="98"/>
    <n v="0.55697138822580095"/>
  </r>
  <r>
    <s v="Mum_Afzal Husain (1008513)"/>
    <x v="1"/>
    <d v="1899-12-30T08:15:36"/>
    <d v="1899-12-30T04:58:34"/>
    <s v="01:09:59"/>
    <n v="23"/>
    <n v="0.58027306967984904"/>
  </r>
  <r>
    <s v="Mum_Anamika Gupta (1008514)"/>
    <x v="2"/>
    <d v="1899-12-30T08:16:57"/>
    <d v="1899-12-30T04:49:35"/>
    <s v="01:13:54"/>
    <n v="28"/>
    <n v="0.51708756749505302"/>
  </r>
  <r>
    <s v="Mum_Anikuttan (1008515)"/>
    <x v="3"/>
    <d v="1899-12-30T08:09:56"/>
    <d v="1899-12-30T04:17:32"/>
    <s v="02:19:02"/>
    <n v="29"/>
    <n v="0.47720778337188702"/>
  </r>
  <r>
    <s v="Mum_Anil Kumar (1008516)"/>
    <x v="4"/>
    <d v="1899-12-30T07:20:41"/>
    <d v="1899-12-30T03:19:44"/>
    <s v="03:04:58"/>
    <n v="93"/>
    <n v="0.43288831738587802"/>
  </r>
  <r>
    <s v="Mum_Anita Dixit (1008517)"/>
    <x v="5"/>
    <d v="1899-12-30T05:00:09"/>
    <d v="1899-12-30T03:41:19"/>
    <s v="00:27:07"/>
    <n v="92"/>
    <n v="0.65495030262646503"/>
  </r>
  <r>
    <s v="Mum_Anita Ghore (1008518)"/>
    <x v="6"/>
    <d v="1899-12-30T08:16:38"/>
    <d v="1899-12-30T04:12:46"/>
    <s v="02:41:42"/>
    <n v="26"/>
    <n v="0.49476474931203401"/>
  </r>
  <r>
    <s v="Mum_Anjali Deoram (1008519)"/>
    <x v="7"/>
    <d v="1899-12-30T09:16:31"/>
    <d v="1899-12-30T05:52:08"/>
    <s v="01:13:10"/>
    <n v="90"/>
    <n v="0.55128627474469205"/>
  </r>
  <r>
    <s v="Mum_Anjali Sahay (1008520)"/>
    <x v="8"/>
    <d v="1899-12-30T08:13:18"/>
    <d v="1899-12-30T04:52:29"/>
    <s v="01:06:39"/>
    <n v="89"/>
    <n v="0.55206432867085597"/>
  </r>
  <r>
    <s v="Mum_Annu Latika (1008521)"/>
    <x v="9"/>
    <d v="1899-12-30T08:20:41"/>
    <d v="1899-12-30T04:58:07"/>
    <s v="01:09:57"/>
    <n v="54"/>
    <n v="0.56868945774108703"/>
  </r>
  <r>
    <s v="Mum_Anoop Narayan (1008522)"/>
    <x v="10"/>
    <d v="1899-12-30T08:10:35"/>
    <d v="1899-12-30T04:55:28"/>
    <s v="01:09:15"/>
    <n v="87"/>
    <n v="0.56035332087650802"/>
  </r>
  <r>
    <s v="Mum_Anoop Raj (1008523)"/>
    <x v="11"/>
    <d v="1899-12-30T08:04:10"/>
    <d v="1899-12-30T03:47:42"/>
    <s v="03:01:18"/>
    <n v="65"/>
    <n v="0.41552495697073999"/>
  </r>
  <r>
    <s v="Mum_Anubhuti Gupta (1008524)"/>
    <x v="12"/>
    <d v="1899-12-30T08:14:38"/>
    <d v="1899-12-30T04:43:40"/>
    <s v="02:06:41"/>
    <n v="85"/>
    <n v="0.50026955994339195"/>
  </r>
  <r>
    <s v="Mum_Arun Kumar (1008525)"/>
    <x v="13"/>
    <d v="1899-12-30T07:59:50"/>
    <d v="1899-12-30T04:40:27"/>
    <s v="01:10:34"/>
    <n v="65"/>
    <n v="0.51396318166029897"/>
  </r>
  <r>
    <s v="Mum_Ashish Kumar (1008526)"/>
    <x v="14"/>
    <d v="1899-12-30T08:16:59"/>
    <d v="1899-12-30T04:57:35"/>
    <s v="01:16:59"/>
    <n v="83"/>
    <n v="0.510580502364264"/>
  </r>
  <r>
    <s v="Mum_Ashok Kumar (1008527)"/>
    <x v="15"/>
    <d v="1899-12-30T08:17:15"/>
    <d v="1899-12-30T04:10:25"/>
    <s v="02:24:20"/>
    <n v="82"/>
    <n v="0.48292274174627098"/>
  </r>
  <r>
    <s v="Hyd_Ashok Kumar (1008528)"/>
    <x v="15"/>
    <d v="1899-12-30T07:53:01"/>
    <d v="1899-12-30T04:44:12"/>
    <s v="00:56:29"/>
    <n v="81"/>
    <n v="0.57362319861879396"/>
  </r>
  <r>
    <s v="Hyd_Ashok Kumar (1008529)"/>
    <x v="15"/>
    <d v="1899-12-30T08:16:43"/>
    <d v="1899-12-30T04:58:07"/>
    <s v="01:10:07"/>
    <n v="80"/>
    <n v="0.56430560681810604"/>
  </r>
  <r>
    <s v="Hyd_Ashok Kumar (1008530)"/>
    <x v="15"/>
    <d v="1899-12-30T08:21:16"/>
    <d v="1899-12-30T04:23:03"/>
    <s v="02:40:10"/>
    <n v="79"/>
    <n v="0.46974331693044302"/>
  </r>
  <r>
    <s v="Hyd_Ashok Mahto (1008531)"/>
    <x v="16"/>
    <d v="1899-12-30T08:17:52"/>
    <d v="1899-12-30T04:58:14"/>
    <s v="01:14:30"/>
    <n v="78"/>
    <n v="0.57495313336904097"/>
  </r>
  <r>
    <s v="Hyd_Atul Kumar (1008532)"/>
    <x v="17"/>
    <d v="1899-12-30T08:13:41"/>
    <d v="1899-12-30T04:53:40"/>
    <s v="01:06:59"/>
    <n v="77"/>
    <n v="0.57945376590932096"/>
  </r>
  <r>
    <s v="Hyd_Azam (1008533)"/>
    <x v="18"/>
    <d v="1899-12-30T08:17:34"/>
    <d v="1899-12-30T04:59:50"/>
    <s v="01:09:47"/>
    <n v="76"/>
    <n v="0.588296375695049"/>
  </r>
  <r>
    <s v="Hyd_Bhagwat Singh (1008534)"/>
    <x v="19"/>
    <d v="1899-12-30T07:41:44"/>
    <d v="1899-12-30T04:08:57"/>
    <s v="02:10:18"/>
    <n v="75"/>
    <n v="0.46267686976609901"/>
  </r>
  <r>
    <s v="Hyd_Bindu Nair (1008535)"/>
    <x v="20"/>
    <d v="1899-12-30T08:10:04"/>
    <d v="1899-12-30T04:14:05"/>
    <s v="02:11:17"/>
    <n v="74"/>
    <n v="0.478030199972793"/>
  </r>
  <r>
    <s v="Hyd_Daleep Singh (1008536)"/>
    <x v="21"/>
    <d v="1899-12-30T08:14:20"/>
    <d v="1899-12-30T05:26:56"/>
    <s v="01:12:54"/>
    <n v="73"/>
    <n v="0.59983142279163904"/>
  </r>
  <r>
    <s v="Hyd_Deepak Kumar (1008537)"/>
    <x v="22"/>
    <d v="1899-12-30T07:35:57"/>
    <d v="1899-12-30T05:05:16"/>
    <s v="00:30:30"/>
    <n v="72"/>
    <n v="0.65029060203969702"/>
  </r>
  <r>
    <s v="Hyd_Deepika Nigam (1008538)"/>
    <x v="23"/>
    <d v="1899-12-30T08:16:59"/>
    <d v="1899-12-30T04:56:45"/>
    <s v="01:11:40"/>
    <n v="71"/>
    <n v="0.55001844461584903"/>
  </r>
  <r>
    <s v="Hyd_Dinesh Kumar (1008539)"/>
    <x v="24"/>
    <d v="1899-12-30T08:13:53"/>
    <d v="1899-12-30T05:06:20"/>
    <s v="01:10:03"/>
    <n v="70"/>
    <n v="0.51334660682347399"/>
  </r>
  <r>
    <s v="Hyd_Hari Kumar (1008540)"/>
    <x v="25"/>
    <d v="1899-12-30T08:15:11"/>
    <d v="1899-12-30T04:11:43"/>
    <s v="02:44:52"/>
    <n v="69"/>
    <n v="0.43603379219817601"/>
  </r>
  <r>
    <s v="Hyd_Heeramani Choudhary (1008541)"/>
    <x v="26"/>
    <d v="1899-12-30T07:27:24"/>
    <d v="1899-12-30T04:35:28"/>
    <s v="01:20:20"/>
    <n v="68"/>
    <n v="0.52954105200417201"/>
  </r>
  <r>
    <s v="Hyd_Indra Pal (1008542)"/>
    <x v="27"/>
    <d v="1899-12-30T07:59:57"/>
    <d v="1899-12-30T05:14:16"/>
    <s v="01:09:15"/>
    <n v="67"/>
    <n v="0.56446852102649603"/>
  </r>
  <r>
    <s v="Hyd_Indra Singh (1008543)"/>
    <x v="28"/>
    <d v="1899-12-30T08:17:44"/>
    <d v="1899-12-30T05:05:03"/>
    <s v="02:09:14"/>
    <n v="66"/>
    <n v="0.49789043664612898"/>
  </r>
  <r>
    <s v="Hyd_Jagdish Chandra (1008544)"/>
    <x v="29"/>
    <d v="1899-12-30T08:19:10"/>
    <d v="1899-12-30T04:59:15"/>
    <s v="01:09:03"/>
    <n v="65"/>
    <n v="0.56270450751252099"/>
  </r>
  <r>
    <s v="Hyd_Jairaj Vatham (1008545)"/>
    <x v="30"/>
    <d v="1899-12-30T08:16:23"/>
    <d v="1899-12-30T05:02:08"/>
    <s v="01:09:56"/>
    <n v="64"/>
    <n v="0.57680556021891705"/>
  </r>
  <r>
    <s v="Hyd_Janardan Mishra (1008546)"/>
    <x v="31"/>
    <d v="1899-12-30T07:39:42"/>
    <d v="1899-12-30T04:32:56"/>
    <s v="01:28:09"/>
    <n v="63"/>
    <n v="0.55728373576970502"/>
  </r>
  <r>
    <s v="Hyd_Jitendra Kumar (1008547)"/>
    <x v="32"/>
    <d v="1899-12-30T08:11:27"/>
    <d v="1899-12-30T04:07:41"/>
    <s v="02:35:12"/>
    <n v="62"/>
    <n v="0.47590463594126198"/>
  </r>
  <r>
    <s v="Hyd_John D'Costa (1008548)"/>
    <x v="33"/>
    <d v="1899-12-30T08:09:47"/>
    <d v="1899-12-30T04:51:30"/>
    <s v="01:09:36"/>
    <n v="61"/>
    <n v="0.55636846224520997"/>
  </r>
  <r>
    <s v="Hyd_Julie S (1008549)"/>
    <x v="34"/>
    <d v="1899-12-30T08:15:46"/>
    <d v="1899-12-30T04:56:12"/>
    <s v="01:10:44"/>
    <n v="60"/>
    <n v="0.527970147246689"/>
  </r>
  <r>
    <s v="Hyd_Jyoti Tulsani (1008550)"/>
    <x v="35"/>
    <d v="1899-12-30T08:15:19"/>
    <d v="1899-12-30T04:56:56"/>
    <s v="01:10:27"/>
    <n v="59"/>
    <n v="0.565025741108382"/>
  </r>
  <r>
    <s v="Hyd_Kahkasha Parveen (1008551)"/>
    <x v="36"/>
    <d v="1899-12-30T08:17:24"/>
    <d v="1899-12-30T05:25:18"/>
    <s v="01:10:12"/>
    <n v="58"/>
    <n v="0.48579278917035301"/>
  </r>
  <r>
    <s v="Hyd_Kailash Nath (1008552)"/>
    <x v="37"/>
    <d v="1899-12-30T08:16:01"/>
    <d v="1899-12-30T04:58:27"/>
    <s v="01:07:40"/>
    <n v="57"/>
    <n v="0.572258996673499"/>
  </r>
  <r>
    <s v="Hyd_Kalpana Agrawal (1008553)"/>
    <x v="38"/>
    <d v="1899-12-30T08:00:08"/>
    <d v="1899-12-30T03:54:19"/>
    <s v="02:24:54"/>
    <n v="56"/>
    <n v="0.46542627048042201"/>
  </r>
  <r>
    <s v="Hyd_Kamini Kumar (1008554)"/>
    <x v="39"/>
    <d v="1899-12-30T05:01:37"/>
    <d v="1899-12-30T03:21:30"/>
    <s v="00:15:00"/>
    <n v="55"/>
    <n v="0.64380836602751801"/>
  </r>
  <r>
    <s v="Hyd_Kamini Tiwari (1008555)"/>
    <x v="40"/>
    <d v="1899-12-30T08:26:46"/>
    <d v="1899-12-30T05:18:49"/>
    <s v="01:09:45"/>
    <n v="54"/>
    <n v="0.57347234098533195"/>
  </r>
  <r>
    <s v="Hyd_Kavita Sharma (1008556)"/>
    <x v="41"/>
    <d v="1899-12-30T07:53:25"/>
    <d v="1899-12-30T05:26:19"/>
    <s v="00:56:19"/>
    <n v="53"/>
    <n v="0.64717479317021698"/>
  </r>
  <r>
    <s v="Hyd_Kiran Khubchandani (1008557)"/>
    <x v="42"/>
    <d v="1899-12-30T08:01:28"/>
    <d v="1899-12-30T04:13:15"/>
    <s v="02:10:24"/>
    <n v="52"/>
    <n v="0.50443090556632497"/>
  </r>
  <r>
    <s v="Hyd_Kisun Sah (1008558)"/>
    <x v="43"/>
    <d v="1899-12-30T08:21:34"/>
    <d v="1899-12-30T05:08:41"/>
    <s v="01:09:28"/>
    <n v="51"/>
    <n v="0.55280122283511701"/>
  </r>
  <r>
    <s v="Hyd_Krishana Kumar (1008559)"/>
    <x v="44"/>
    <d v="1899-12-30T08:15:28"/>
    <d v="1899-12-30T04:45:06"/>
    <s v="01:09:45"/>
    <n v="50"/>
    <n v="0.55493137782561897"/>
  </r>
  <r>
    <s v="Hyd_Kunj Bihari (1008560)"/>
    <x v="45"/>
    <d v="1899-12-30T07:59:19"/>
    <d v="1899-12-30T04:42:13"/>
    <s v="01:10:11"/>
    <n v="49"/>
    <n v="0.55217497131332804"/>
  </r>
  <r>
    <s v="Hyd_Leena George (1008561)"/>
    <x v="46"/>
    <d v="1899-12-30T04:56:13"/>
    <d v="1899-12-30T03:10:50"/>
    <s v="00:18:10"/>
    <n v="48"/>
    <n v="0.58819557756147001"/>
  </r>
  <r>
    <s v="Hyd_Lilly Lucy (1008562)"/>
    <x v="47"/>
    <d v="1899-12-30T07:45:23"/>
    <d v="1899-12-30T04:39:06"/>
    <s v="01:14:44"/>
    <n v="47"/>
    <n v="0.55534863732407003"/>
  </r>
  <r>
    <s v="Hyd_Mangal Singh (1008563)"/>
    <x v="48"/>
    <d v="1899-12-30T08:00:13"/>
    <d v="1899-12-30T04:46:25"/>
    <s v="01:10:04"/>
    <n v="46"/>
    <n v="0.55815083469267301"/>
  </r>
  <r>
    <s v="Hyd_Manisha Shrivastava (1008564)"/>
    <x v="49"/>
    <d v="1899-12-30T08:09:49"/>
    <d v="1899-12-30T04:51:12"/>
    <s v="01:10:09"/>
    <n v="45"/>
    <n v="0.53002824185919895"/>
  </r>
  <r>
    <s v="Hyd_Manjusha Sinha (1008565)"/>
    <x v="50"/>
    <d v="1899-12-30T08:14:05"/>
    <d v="1899-12-30T05:04:01"/>
    <s v="01:10:39"/>
    <n v="44"/>
    <n v="0.54639905548996504"/>
  </r>
  <r>
    <s v="Hyd_ManjuTiwari Lab (1008566)"/>
    <x v="51"/>
    <d v="1899-12-30T07:41:28"/>
    <d v="1899-12-30T04:26:11"/>
    <s v="01:10:46"/>
    <n v="43"/>
    <n v="0.52849609939323905"/>
  </r>
  <r>
    <s v="Hyd_Manoj Kumar (1008567)"/>
    <x v="52"/>
    <d v="1899-12-30T08:00:44"/>
    <d v="1899-12-30T04:28:58"/>
    <s v="01:09:53"/>
    <n v="42"/>
    <n v="0.53279711551795905"/>
  </r>
  <r>
    <s v="Hyd_Manoj Kumar (1008568)"/>
    <x v="52"/>
    <d v="1899-12-30T07:55:23"/>
    <d v="1899-12-30T04:29:51"/>
    <s v="01:15:59"/>
    <n v="41"/>
    <n v="0.53150089401535605"/>
  </r>
  <r>
    <s v="Hyd_Masroor Adil (1008569)"/>
    <x v="53"/>
    <d v="1899-12-30T08:10:04"/>
    <d v="1899-12-30T05:04:35"/>
    <s v="01:11:39"/>
    <n v="40"/>
    <n v="0.58954564004897303"/>
  </r>
  <r>
    <s v="Hyd_Meena Zinjare (1008570)"/>
    <x v="54"/>
    <d v="1899-12-30T08:05:29"/>
    <d v="1899-12-30T03:09:32"/>
    <s v="03:34:45"/>
    <n v="39"/>
    <n v="0.34903360911806097"/>
  </r>
  <r>
    <s v="Hyd_Mehnaz Khan (1008571)"/>
    <x v="55"/>
    <d v="1899-12-30T08:14:51"/>
    <d v="1899-12-30T04:08:21"/>
    <s v="02:12:24"/>
    <n v="38"/>
    <n v="0.47933717288067101"/>
  </r>
  <r>
    <s v="Hyd_Mercy Thampi (1008572)"/>
    <x v="56"/>
    <d v="1899-12-30T05:15:35"/>
    <d v="1899-12-30T03:38:44"/>
    <s v="00:15:35"/>
    <n v="37"/>
    <n v="0.62762080802746201"/>
  </r>
  <r>
    <s v="Hyd_Miny Mole (1008573)"/>
    <x v="57"/>
    <d v="1899-12-30T08:12:10"/>
    <d v="1899-12-30T04:14:06"/>
    <s v="02:13:07"/>
    <n v="36"/>
    <n v="0.47561801557737898"/>
  </r>
  <r>
    <s v="Hyd_Mohd Rafi (1008574)"/>
    <x v="58"/>
    <d v="1899-12-30T08:00:32"/>
    <d v="1899-12-30T03:55:15"/>
    <s v="02:38:29"/>
    <n v="35"/>
    <n v="0.43635543840177599"/>
  </r>
  <r>
    <s v="Hyd_Mubeen Khan (1008575)"/>
    <x v="59"/>
    <d v="1899-12-30T07:55:35"/>
    <d v="1899-12-30T03:50:43"/>
    <s v="02:24:38"/>
    <n v="34"/>
    <n v="0.451270369721395"/>
  </r>
  <r>
    <s v="Hyd_Mukesh Nagar (1008576)"/>
    <x v="60"/>
    <d v="1899-12-30T05:01:07"/>
    <d v="1899-12-30T03:13:40"/>
    <s v="00:29:34"/>
    <n v="33"/>
    <n v="0.61244257486024201"/>
  </r>
  <r>
    <s v="Hyd_Nandu Kumar (1008577)"/>
    <x v="61"/>
    <d v="1899-12-30T08:21:39"/>
    <d v="1899-12-30T04:43:39"/>
    <s v="01:14:03"/>
    <n v="32"/>
    <n v="0.51755872288115901"/>
  </r>
  <r>
    <s v="Hyd_Narayan Singh (1008578)"/>
    <x v="62"/>
    <d v="1899-12-30T08:19:29"/>
    <d v="1899-12-30T04:54:19"/>
    <s v="01:08:27"/>
    <n v="31"/>
    <n v="0.55550735760285597"/>
  </r>
  <r>
    <s v="Hyd_Neeraj Saxena (1008579)"/>
    <x v="63"/>
    <d v="1899-12-30T08:21:13"/>
    <d v="1899-12-30T04:36:09"/>
    <s v="02:15:18"/>
    <n v="30"/>
    <n v="0.45535862734013899"/>
  </r>
  <r>
    <s v="Hyd_Neeru Mehta (1008580)"/>
    <x v="64"/>
    <d v="1899-12-30T08:02:20"/>
    <d v="1899-12-30T04:44:15"/>
    <s v="01:10:03"/>
    <n v="29"/>
    <n v="0.53445058742225304"/>
  </r>
  <r>
    <s v="Hyd_Nikita Panwalkar (1008581)"/>
    <x v="65"/>
    <d v="1899-12-30T08:16:46"/>
    <d v="1899-12-30T04:58:45"/>
    <s v="01:37:25"/>
    <n v="28"/>
    <n v="0.55914916459773201"/>
  </r>
  <r>
    <s v="Hyd_Nitin Bhatia (1008582)"/>
    <x v="66"/>
    <d v="1899-12-30T08:00:37"/>
    <d v="1899-12-30T04:44:56"/>
    <s v="01:09:53"/>
    <n v="29"/>
    <n v="0.56847106148351101"/>
  </r>
  <r>
    <s v="Hyd_Om Prakash (1008583)"/>
    <x v="67"/>
    <d v="1899-12-30T07:55:44"/>
    <d v="1899-12-30T04:26:21"/>
    <s v="01:36:03"/>
    <n v="30"/>
    <n v="0.47509108744394601"/>
  </r>
  <r>
    <s v="Hyd_Omprakash O (1008584)"/>
    <x v="68"/>
    <d v="1899-12-30T08:09:43"/>
    <d v="1899-12-30T04:02:05"/>
    <s v="02:11:54"/>
    <n v="31"/>
    <n v="0.47578531804104401"/>
  </r>
  <r>
    <s v="Hyd_Owais Mohd (1008585)"/>
    <x v="69"/>
    <d v="1899-12-30T08:01:11"/>
    <d v="1899-12-30T04:02:50"/>
    <s v="02:26:26"/>
    <n v="32"/>
    <n v="0.46898271622042897"/>
  </r>
  <r>
    <s v="Hyd_Pankaj Shelkey (1008586)"/>
    <x v="70"/>
    <d v="1899-12-30T08:15:54"/>
    <d v="1899-12-30T04:26:54"/>
    <s v="01:55:26"/>
    <n v="33"/>
    <n v="0.51361161524500898"/>
  </r>
  <r>
    <s v="Hyd_Partha Sarathi (1008587)"/>
    <x v="71"/>
    <d v="1899-12-30T08:32:22"/>
    <d v="1899-12-30T05:11:39"/>
    <s v="01:38:42"/>
    <n v="34"/>
    <n v="0.525112224318522"/>
  </r>
  <r>
    <s v="Hyd_Prabha Desikan (1008588)"/>
    <x v="72"/>
    <d v="1899-12-30T08:21:49"/>
    <d v="1899-12-30T03:03:51"/>
    <s v="04:11:26"/>
    <n v="35"/>
    <n v="0.348600086352918"/>
  </r>
  <r>
    <s v="Hyd_Pramod Tiwari (1008589)"/>
    <x v="73"/>
    <d v="1899-12-30T08:25:20"/>
    <d v="1899-12-30T02:54:03"/>
    <s v="04:21:06"/>
    <n v="36"/>
    <n v="0.314709762532982"/>
  </r>
  <r>
    <s v="Hyd_Prasannakumari S (1008590)"/>
    <x v="74"/>
    <d v="1899-12-30T08:08:02"/>
    <d v="1899-12-30T05:10:46"/>
    <s v="01:10:25"/>
    <n v="37"/>
    <n v="0.55600710333993597"/>
  </r>
  <r>
    <s v="Hyd_Praveen Kumar (1008591)"/>
    <x v="75"/>
    <d v="1899-12-30T08:19:20"/>
    <d v="1899-12-30T04:08:46"/>
    <s v="02:37:28"/>
    <n v="38"/>
    <n v="0.46221628838451301"/>
  </r>
  <r>
    <s v="Hyd_Rachel Mathew (1008592)"/>
    <x v="76"/>
    <d v="1899-12-30T08:25:36"/>
    <d v="1899-12-30T03:40:53"/>
    <s v="03:20:01"/>
    <n v="39"/>
    <n v="0.39075685654008402"/>
  </r>
  <r>
    <s v="Hyd_Rachita Anupam (1008593)"/>
    <x v="77"/>
    <d v="1899-12-30T08:16:26"/>
    <d v="1899-12-30T05:16:03"/>
    <s v="01:08:32"/>
    <n v="40"/>
    <n v="0.54713623850130899"/>
  </r>
  <r>
    <s v="Hyd_Rachna Chauhan (1008594)"/>
    <x v="78"/>
    <d v="1899-12-30T07:36:07"/>
    <d v="1899-12-30T05:07:23"/>
    <s v="00:30:20"/>
    <n v="41"/>
    <n v="0.61457229509993805"/>
  </r>
  <r>
    <s v="Hyd_Raj Kumar (1008595)"/>
    <x v="79"/>
    <d v="1899-12-30T08:09:57"/>
    <d v="1899-12-30T05:03:51"/>
    <s v="01:08:44"/>
    <n v="42"/>
    <n v="0.55335578460387103"/>
  </r>
  <r>
    <s v="Hyd_Rajeev Garg (1008596)"/>
    <x v="80"/>
    <d v="1899-12-30T08:04:00"/>
    <d v="1899-12-30T05:05:29"/>
    <s v="01:08:24"/>
    <n v="43"/>
    <n v="0.611363636363636"/>
  </r>
  <r>
    <s v="Hyd_Rajeev Kumar (1008597)"/>
    <x v="81"/>
    <d v="1899-12-30T07:59:43"/>
    <d v="1899-12-30T04:28:51"/>
    <s v="01:37:06"/>
    <n v="44"/>
    <n v="0.51217732689434703"/>
  </r>
  <r>
    <s v="Hyd_Rajendra Gupta (1008598)"/>
    <x v="82"/>
    <d v="1899-12-30T08:25:57"/>
    <d v="1899-12-30T04:58:12"/>
    <s v="01:19:08"/>
    <n v="45"/>
    <n v="0.56029910728991705"/>
  </r>
  <r>
    <s v="Hyd_Rajendra Kumar (1008599)"/>
    <x v="83"/>
    <d v="1899-12-30T08:14:44"/>
    <d v="1899-12-30T03:55:22"/>
    <s v="02:34:16"/>
    <n v="46"/>
    <n v="0.42891793558819602"/>
  </r>
  <r>
    <s v="Hyd_Rajendra Prasad (1008600)"/>
    <x v="84"/>
    <d v="1899-12-30T08:22:34"/>
    <d v="1899-12-30T00:48:33"/>
    <s v="07:08:19"/>
    <n v="47"/>
    <n v="9.4547987000066294E-2"/>
  </r>
  <r>
    <s v="Hyd_Rajesh Kumar (1008601)"/>
    <x v="85"/>
    <d v="1899-12-30T08:00:39"/>
    <d v="1899-12-30T05:11:50"/>
    <s v="01:12:04"/>
    <n v="48"/>
    <n v="0.61021533340268397"/>
  </r>
  <r>
    <s v="Hyd_Rajesh Kumar (1008602)"/>
    <x v="85"/>
    <d v="1899-12-30T08:17:39"/>
    <d v="1899-12-30T04:49:40"/>
    <s v="02:06:35"/>
    <n v="49"/>
    <n v="0.51260926353863201"/>
  </r>
  <r>
    <s v="Hyd_Rajesh Sharma (1008603)"/>
    <x v="86"/>
    <d v="1899-12-30T05:04:31"/>
    <d v="1899-12-30T03:24:21"/>
    <s v="00:24:27"/>
    <n v="50"/>
    <n v="0.62426796562859199"/>
  </r>
  <r>
    <s v="Hyd_Raji Abraham (1008604)"/>
    <x v="87"/>
    <d v="1899-12-30T08:10:41"/>
    <d v="1899-12-30T04:44:35"/>
    <s v="01:09:28"/>
    <n v="51"/>
    <n v="0.54373153085832704"/>
  </r>
  <r>
    <s v="Hyd_Rajshree Dhabekar (1008605)"/>
    <x v="88"/>
    <d v="1899-12-30T08:15:13"/>
    <e v="#VALUE!"/>
    <s v="08:15:09"/>
    <n v="52"/>
    <n v="0"/>
  </r>
  <r>
    <s v="Hyd_Rakhi Jodhani (1008606)"/>
    <x v="89"/>
    <d v="1899-12-30T08:02:52"/>
    <d v="1899-12-30T01:13:06"/>
    <s v="06:39:44"/>
    <n v="53"/>
    <n v="0.14431174927516199"/>
  </r>
  <r>
    <s v="Hyd_Ramji Prasad (1008607)"/>
    <x v="90"/>
    <d v="1899-12-30T08:19:26"/>
    <d v="1899-12-30T04:53:04"/>
    <s v="01:13:46"/>
    <n v="54"/>
    <n v="0.55259293866381898"/>
  </r>
  <r>
    <s v="Del_Rashid (1008608)"/>
    <x v="91"/>
    <d v="1899-12-30T08:02:10"/>
    <d v="1899-12-30T01:36:08"/>
    <s v="05:45:13"/>
    <n v="55"/>
    <n v="0.18938817836156199"/>
  </r>
  <r>
    <s v="Del_Rashmi Gajbe (1008609)"/>
    <x v="92"/>
    <d v="1899-12-30T08:20:42"/>
    <d v="1899-12-30T04:16:57"/>
    <s v="02:04:58"/>
    <n v="56"/>
    <n v="0.47077424938419499"/>
  </r>
  <r>
    <s v="Del_Ravi Kumar (1008610)"/>
    <x v="93"/>
    <d v="1899-12-30T08:00:44"/>
    <d v="1899-12-30T04:47:03"/>
    <s v="01:11:14"/>
    <n v="57"/>
    <n v="0.53862155040909698"/>
  </r>
  <r>
    <s v="Del_Ravinder Kaur (1008611)"/>
    <x v="94"/>
    <d v="1899-12-30T08:01:53"/>
    <d v="1899-12-30T04:38:57"/>
    <s v="01:09:28"/>
    <n v="58"/>
    <n v="0.53294365856189296"/>
  </r>
  <r>
    <s v="Del_Rekha Agarwal (1008612)"/>
    <x v="95"/>
    <d v="1899-12-30T05:53:52"/>
    <d v="1899-12-30T02:53:07"/>
    <s v="02:41:42"/>
    <n v="59"/>
    <n v="0.41310286360211002"/>
  </r>
  <r>
    <s v="Del_Rekha Gupta (1008613)"/>
    <x v="96"/>
    <d v="1899-12-30T08:16:02"/>
    <d v="1899-12-30T04:22:52"/>
    <s v="01:50:37"/>
    <n v="60"/>
    <n v="0.50483838451717"/>
  </r>
  <r>
    <s v="Del_Rekha Jain  (1008614)"/>
    <x v="97"/>
    <d v="1899-12-30T08:15:42"/>
    <d v="1899-12-30T04:25:29"/>
    <s v="01:36:57"/>
    <n v="61"/>
    <n v="0.52390558805729304"/>
  </r>
  <r>
    <s v="Del_Renu Pratap (1008615)"/>
    <x v="98"/>
    <d v="1899-12-30T08:16:30"/>
    <d v="1899-12-30T02:30:29"/>
    <s v="05:07:55"/>
    <n v="62"/>
    <n v="0.25444780127559602"/>
  </r>
  <r>
    <s v="Del_Ritu Bhatnagar (1008616)"/>
    <x v="99"/>
    <d v="1899-12-30T08:01:48"/>
    <d v="1899-12-30T04:52:13"/>
    <s v="01:13:20"/>
    <n v="63"/>
    <n v="0.55517503805174995"/>
  </r>
  <r>
    <s v="Del_Rohit Nishchal (1008617)"/>
    <x v="100"/>
    <d v="1899-12-30T08:17:09"/>
    <e v="#VALUE!"/>
    <s v="08:17:00"/>
    <n v="64"/>
    <n v="0"/>
  </r>
  <r>
    <s v="Del_Roli Bhatnagar (1008618)"/>
    <x v="101"/>
    <d v="1899-12-30T08:15:43"/>
    <d v="1899-12-30T04:08:30"/>
    <s v="02:10:16"/>
    <n v="65"/>
    <n v="0.477120667047709"/>
  </r>
  <r>
    <s v="Del_Roma Rastogi (1008619)"/>
    <x v="102"/>
    <d v="1899-12-30T08:31:02"/>
    <d v="1899-12-30T05:35:38"/>
    <s v="00:53:47"/>
    <n v="66"/>
    <n v="0.61917030852521004"/>
  </r>
  <r>
    <s v="Del_Roohi Haider (1008620)"/>
    <x v="103"/>
    <d v="1899-12-30T08:00:11"/>
    <d v="1899-12-30T04:52:11"/>
    <s v="01:09:24"/>
    <n v="67"/>
    <n v="0.55305265350039901"/>
  </r>
  <r>
    <s v="Del_Sajid Naqvi (1008621)"/>
    <x v="104"/>
    <d v="1899-12-30T08:15:48"/>
    <d v="1899-12-30T05:00:37"/>
    <s v="01:08:40"/>
    <n v="68"/>
    <n v="0.56195374478956595"/>
  </r>
  <r>
    <s v="Del_Salim (1008622)"/>
    <x v="105"/>
    <d v="1899-12-30T08:15:56"/>
    <d v="1899-12-30T04:37:42"/>
    <s v="01:59:29"/>
    <n v="69"/>
    <n v="0.48780077967468699"/>
  </r>
  <r>
    <s v="Del_Sanjay Hire (1008623)"/>
    <x v="106"/>
    <d v="1899-12-30T08:15:52"/>
    <d v="1899-12-30T05:00:14"/>
    <s v="01:09:43"/>
    <n v="70"/>
    <n v="0.55414762032804499"/>
  </r>
  <r>
    <s v="Del_Sanjiv Subherwal (1008624)"/>
    <x v="107"/>
    <d v="1899-12-30T08:02:17"/>
    <d v="1899-12-30T05:06:07"/>
    <s v="01:10:15"/>
    <n v="71"/>
    <n v="0.58651553374572396"/>
  </r>
  <r>
    <s v="Del_Sanju Ramdas (1008625)"/>
    <x v="108"/>
    <d v="1899-12-30T08:15:58"/>
    <d v="1899-12-30T05:19:44"/>
    <s v="01:13:56"/>
    <n v="72"/>
    <n v="0.58165871362322696"/>
  </r>
  <r>
    <s v="Del_Santosh Kumar (1008626)"/>
    <x v="109"/>
    <d v="1899-12-30T08:00:32"/>
    <d v="1899-12-30T05:03:10"/>
    <s v="01:09:48"/>
    <n v="73"/>
    <n v="0.59073251942286398"/>
  </r>
  <r>
    <s v="Del_Santosh Kumar (1008627)"/>
    <x v="109"/>
    <d v="1899-12-30T08:17:04"/>
    <d v="1899-12-30T05:09:57"/>
    <s v="01:10:58"/>
    <n v="74"/>
    <n v="0.58640692060085797"/>
  </r>
  <r>
    <s v="Del_Santosh Kumar (1008628)"/>
    <x v="109"/>
    <d v="1899-12-30T08:02:59"/>
    <d v="1899-12-30T04:44:19"/>
    <s v="01:12:01"/>
    <n v="75"/>
    <n v="0.54653369681493502"/>
  </r>
  <r>
    <s v="Del_Sapna Sharma (1008629)"/>
    <x v="110"/>
    <d v="1899-12-30T08:04:14"/>
    <d v="1899-12-30T04:33:29"/>
    <s v="01:32:37"/>
    <n v="76"/>
    <n v="0.53238796723342696"/>
  </r>
  <r>
    <s v="Del_Saroj Parita (1008630)"/>
    <x v="111"/>
    <d v="1899-12-30T08:01:59"/>
    <d v="1899-12-30T04:31:42"/>
    <s v="01:45:37"/>
    <n v="77"/>
    <n v="0.47020989660776702"/>
  </r>
  <r>
    <s v="Del_Shailaja Kamal (1008631)"/>
    <x v="112"/>
    <d v="1899-12-30T08:09:14"/>
    <d v="1899-12-30T04:51:46"/>
    <s v="01:08:46"/>
    <n v="78"/>
    <n v="0.54633099407235797"/>
  </r>
  <r>
    <s v="Del_Shailendra Barge (1008632)"/>
    <x v="113"/>
    <d v="1899-12-30T08:17:38"/>
    <d v="1899-12-30T03:26:09"/>
    <s v="03:43:06"/>
    <n v="79"/>
    <n v="0.38820416638756799"/>
  </r>
  <r>
    <s v="Del_Shankar Attendant (1008633)"/>
    <x v="114"/>
    <d v="1899-12-30T07:57:56"/>
    <d v="1899-12-30T03:27:15"/>
    <s v="03:15:05"/>
    <n v="80"/>
    <n v="0.40277584042404802"/>
  </r>
  <r>
    <s v="Del_Shashikant Tiwari (1008634)"/>
    <x v="115"/>
    <d v="1899-12-30T08:14:55"/>
    <d v="1899-12-30T05:19:10"/>
    <s v="01:09:59"/>
    <n v="81"/>
    <n v="0.54352584610203702"/>
  </r>
  <r>
    <s v="Del_Sheeba Joseph (1008635)"/>
    <x v="116"/>
    <d v="1899-12-30T08:30:57"/>
    <d v="1899-12-30T03:41:07"/>
    <s v="00:55:39"/>
    <n v="82"/>
    <n v="0.28371986821932998"/>
  </r>
  <r>
    <s v="Del_Sheena Joseph (1008636)"/>
    <x v="117"/>
    <d v="1899-12-30T08:49:34"/>
    <d v="1899-12-30T05:10:26"/>
    <s v="01:41:30"/>
    <n v="83"/>
    <n v="0.56196890539434796"/>
  </r>
  <r>
    <s v="Del_Shephali Jain (1008637)"/>
    <x v="118"/>
    <d v="1899-12-30T08:25:43"/>
    <d v="1899-12-30T03:41:29"/>
    <s v="03:23:49"/>
    <n v="84"/>
    <n v="0.40332201825791802"/>
  </r>
  <r>
    <s v="Del_Shivji Prasad (1008638)"/>
    <x v="119"/>
    <d v="1899-12-30T08:11:40"/>
    <d v="1899-12-30T04:12:39"/>
    <s v="02:17:48"/>
    <n v="85"/>
    <n v="0.43796610169491501"/>
  </r>
  <r>
    <s v="Del_Shubhanjali Joshi (1008639)"/>
    <x v="120"/>
    <d v="1899-12-30T08:17:17"/>
    <d v="1899-12-30T04:54:52"/>
    <s v="01:19:32"/>
    <n v="86"/>
    <n v="0.55581995508931903"/>
  </r>
  <r>
    <s v="Del_Shyamal Malakar (1008640)"/>
    <x v="121"/>
    <d v="1899-12-30T08:15:36"/>
    <d v="1899-12-30T02:53:35"/>
    <s v="04:35:37"/>
    <n v="87"/>
    <n v="0.326035781544256"/>
  </r>
  <r>
    <s v="Del_Sneh Khan (1008641)"/>
    <x v="122"/>
    <d v="1899-12-30T08:09:15"/>
    <d v="1899-12-30T05:06:25"/>
    <s v="01:09:51"/>
    <n v="88"/>
    <n v="0.57404190086867701"/>
  </r>
  <r>
    <s v="Del_Sonaram Munda (1008642)"/>
    <x v="123"/>
    <d v="1899-12-30T08:00:41"/>
    <d v="1899-12-30T04:11:10"/>
    <s v="01:57:15"/>
    <n v="89"/>
    <n v="0.45359037481363301"/>
  </r>
  <r>
    <s v="Del_Sudama Kumar (1008643)"/>
    <x v="124"/>
    <d v="1899-12-30T08:09:47"/>
    <d v="1899-12-30T02:38:49"/>
    <s v="04:36:20"/>
    <n v="90"/>
    <n v="0.29689998979140397"/>
  </r>
  <r>
    <s v="Del_Sudhir Kumar (1008644)"/>
    <x v="125"/>
    <d v="1899-12-30T08:00:18"/>
    <d v="1899-12-30T04:35:36"/>
    <s v="01:14:24"/>
    <n v="91"/>
    <n v="0.55729058227496697"/>
  </r>
  <r>
    <s v="Del_Sunil Kumar (1008645)"/>
    <x v="126"/>
    <d v="1899-12-30T08:03:26"/>
    <d v="1899-12-30T02:58:37"/>
    <s v="03:56:57"/>
    <n v="92"/>
    <n v="0.33279321519685601"/>
  </r>
  <r>
    <s v="Del_Sunil Kumar (1008646)"/>
    <x v="126"/>
    <d v="1899-12-30T08:05:06"/>
    <d v="1899-12-30T04:05:03"/>
    <s v="02:16:51"/>
    <n v="93"/>
    <n v="0.472308115165258"/>
  </r>
  <r>
    <s v="Del_Sunita Chawla (1008647)"/>
    <x v="127"/>
    <d v="1899-12-30T08:05:25"/>
    <d v="1899-12-30T04:31:57"/>
    <s v="02:06:43"/>
    <n v="94"/>
    <n v="0.51110729613733896"/>
  </r>
  <r>
    <s v="Del_Sunita Madnani (1008648)"/>
    <x v="128"/>
    <d v="1899-12-30T08:14:02"/>
    <d v="1899-12-30T05:19:12"/>
    <s v="01:08:15"/>
    <n v="95"/>
    <n v="0.58886040078267299"/>
  </r>
  <r>
    <s v="Del_Surendra Kumar (1008649)"/>
    <x v="129"/>
    <d v="1899-12-30T07:29:10"/>
    <d v="1899-12-30T02:54:25"/>
    <s v="03:46:52"/>
    <n v="96"/>
    <n v="0.34289424860853401"/>
  </r>
  <r>
    <s v="Del_Surendranath Thakur (1008650)"/>
    <x v="130"/>
    <d v="1899-12-30T08:33:53"/>
    <d v="1899-12-30T04:36:50"/>
    <s v="02:17:05"/>
    <n v="97"/>
    <n v="0.497486459313074"/>
  </r>
  <r>
    <s v="Del_Sushma Khandelwal (1008651)"/>
    <x v="131"/>
    <d v="1899-12-30T08:15:15"/>
    <d v="1899-12-30T04:50:07"/>
    <s v="01:10:21"/>
    <n v="98"/>
    <n v="0.52431431936732298"/>
  </r>
  <r>
    <s v="Del_Swarnlata Borse (1008652)"/>
    <x v="132"/>
    <d v="1899-12-30T08:19:05"/>
    <d v="1899-12-30T02:59:39"/>
    <s v="04:32:37"/>
    <n v="99"/>
    <n v="0.31066956086157999"/>
  </r>
  <r>
    <s v="Del_Syed Naved (1008653)"/>
    <x v="133"/>
    <d v="1899-12-30T08:13:39"/>
    <d v="1899-12-30T05:24:05"/>
    <s v="01:14:44"/>
    <n v="100"/>
    <n v="0.58462473412336702"/>
  </r>
  <r>
    <s v="Del_Syed Saqib (1008654)"/>
    <x v="134"/>
    <d v="1899-12-30T08:24:48"/>
    <d v="1899-12-30T02:52:08"/>
    <s v="05:03:34"/>
    <n v="101"/>
    <n v="0.31685816164817698"/>
  </r>
  <r>
    <s v="Del_Syed Sohail (1008655)"/>
    <x v="135"/>
    <d v="1899-12-30T08:17:53"/>
    <d v="1899-12-30T04:51:52"/>
    <s v="01:12:04"/>
    <n v="102"/>
    <n v="0.56375322197301903"/>
  </r>
  <r>
    <s v="Del_System Operator (1008656)"/>
    <x v="136"/>
    <d v="1899-12-30T08:30:54"/>
    <d v="1899-12-30T05:15:36"/>
    <s v="00:56:05"/>
    <n v="103"/>
    <n v="0.54779147908918902"/>
  </r>
  <r>
    <s v="Del_Tahira Qureshi (1008657)"/>
    <x v="137"/>
    <d v="1899-12-30T08:46:13"/>
    <d v="1899-12-30T03:36:51"/>
    <s v="04:02:30"/>
    <n v="104"/>
    <n v="0.37965983593576802"/>
  </r>
  <r>
    <s v="Del_Tapas Chakraborty (1008658)"/>
    <x v="138"/>
    <d v="1899-12-30T08:14:56"/>
    <d v="1899-12-30T05:15:14"/>
    <s v="01:12:11"/>
    <n v="105"/>
    <n v="0.56529498922413801"/>
  </r>
  <r>
    <s v="Del_Tariq Akhlaq (1008659)"/>
    <x v="139"/>
    <d v="1899-12-30T04:59:55"/>
    <d v="1899-12-30T03:08:41"/>
    <s v="00:15:03"/>
    <n v="106"/>
    <n v="0.60261183662128404"/>
  </r>
  <r>
    <s v="Del_Tasneem Khan (1008660)"/>
    <x v="140"/>
    <d v="1899-12-30T08:33:55"/>
    <d v="1899-12-30T04:38:49"/>
    <s v="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CD3271-76A9-4E89-A43B-BAE7CD886921}" name="PivotTable1" cacheId="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9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showAll="0"/>
    <pivotField numFmtId="3"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formats count="3">
    <format dxfId="2">
      <pivotArea field="1" type="button" dataOnly="0" labelOnly="1" outline="0" axis="axisRow" fieldPosition="0"/>
    </format>
    <format dxfId="1">
      <pivotArea collapsedLevelsAreSubtotals="1" fieldPosition="0">
        <references count="1">
          <reference field="1" count="1">
            <x v="0"/>
          </reference>
        </references>
      </pivotArea>
    </format>
    <format dxfId="0">
      <pivotArea outline="0" collapsedLevelsAreSubtotals="1" fieldPosition="0"/>
    </format>
  </formats>
  <chartFormats count="6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6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B329AA-8DEC-4A27-96F6-841B0284F821}" name="PivotTable2" cacheId="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4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showAll="0"/>
    <pivotField showAll="0"/>
    <pivotField numFmtId="3" showAll="0"/>
    <pivotField numFmtId="9" showAll="0"/>
  </pivotFields>
  <rowFields count="1">
    <field x="1"/>
  </rowFields>
  <rowItems count="6">
    <i>
      <x v="7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 of woking hours " fld="2" baseField="1" baseItem="15" numFmtId="165"/>
  </dataFields>
  <formats count="3">
    <format dxfId="5">
      <pivotArea field="1" type="button" dataOnly="0" labelOnly="1" outline="0" axis="axisRow" fieldPosition="0"/>
    </format>
    <format dxfId="4">
      <pivotArea collapsedLevelsAreSubtotals="1" fieldPosition="0">
        <references count="1">
          <reference field="1" count="1">
            <x v="0"/>
          </reference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60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CCDC1-F66E-4C31-8E44-549FE7D929FD}">
  <sheetPr codeName="Sheet2"/>
  <dimension ref="A1:I150"/>
  <sheetViews>
    <sheetView zoomScale="148" zoomScaleNormal="100" workbookViewId="0">
      <selection sqref="A1:I150"/>
    </sheetView>
  </sheetViews>
  <sheetFormatPr defaultRowHeight="14.4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AE3C-4AE4-413C-AE40-D52058D62F1B}">
  <sheetPr codeName="Sheet3"/>
  <dimension ref="A1:Q150"/>
  <sheetViews>
    <sheetView zoomScale="170" workbookViewId="0">
      <selection sqref="A1:Q150"/>
    </sheetView>
  </sheetViews>
  <sheetFormatPr defaultRowHeight="14.4" x14ac:dyDescent="0.3"/>
  <cols>
    <col min="1" max="1" width="31.44140625" bestFit="1" customWidth="1"/>
    <col min="2" max="2" width="15.6640625" customWidth="1"/>
    <col min="3" max="3" width="12.21875" customWidth="1"/>
    <col min="4" max="4" width="10.21875" customWidth="1"/>
    <col min="5" max="5" width="15.21875" customWidth="1"/>
    <col min="6" max="6" width="11.77734375" customWidth="1"/>
    <col min="9" max="9" width="12.21875" customWidth="1"/>
    <col min="11" max="11" width="13" customWidth="1"/>
    <col min="12" max="12" width="11.6640625" customWidth="1"/>
    <col min="15" max="15" width="14.44140625" customWidth="1"/>
    <col min="16" max="16" width="12.6640625" customWidth="1"/>
  </cols>
  <sheetData>
    <row r="1" spans="1:17" ht="27" customHeight="1" x14ac:dyDescent="0.3">
      <c r="A1" s="5" t="s">
        <v>0</v>
      </c>
      <c r="B1" s="5" t="s">
        <v>596</v>
      </c>
      <c r="C1" s="5" t="s">
        <v>597</v>
      </c>
      <c r="D1" s="5" t="s">
        <v>598</v>
      </c>
      <c r="E1" s="5" t="s">
        <v>599</v>
      </c>
      <c r="F1" s="5" t="s">
        <v>600</v>
      </c>
      <c r="G1" s="5" t="s">
        <v>601</v>
      </c>
      <c r="H1" s="5" t="s">
        <v>602</v>
      </c>
      <c r="I1" s="5" t="s">
        <v>603</v>
      </c>
      <c r="J1" s="5" t="s">
        <v>604</v>
      </c>
      <c r="K1" s="5" t="s">
        <v>605</v>
      </c>
      <c r="L1" s="5" t="s">
        <v>606</v>
      </c>
      <c r="M1" s="5" t="s">
        <v>607</v>
      </c>
      <c r="N1" s="5" t="s">
        <v>608</v>
      </c>
      <c r="O1" s="5" t="s">
        <v>609</v>
      </c>
      <c r="P1" s="5" t="s">
        <v>610</v>
      </c>
      <c r="Q1" s="5" t="s">
        <v>611</v>
      </c>
    </row>
    <row r="2" spans="1:17" x14ac:dyDescent="0.3">
      <c r="A2" s="2" t="s">
        <v>9</v>
      </c>
      <c r="B2" s="3" t="s">
        <v>612</v>
      </c>
      <c r="C2" s="3" t="s">
        <v>613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 x14ac:dyDescent="0.3">
      <c r="A3" s="2" t="s">
        <v>14</v>
      </c>
      <c r="B3" s="3" t="s">
        <v>614</v>
      </c>
      <c r="C3" s="3" t="s">
        <v>615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 x14ac:dyDescent="0.3">
      <c r="A4" s="2" t="s">
        <v>18</v>
      </c>
      <c r="B4" s="3" t="s">
        <v>616</v>
      </c>
      <c r="C4" s="3" t="s">
        <v>617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 x14ac:dyDescent="0.3">
      <c r="A5" s="2" t="s">
        <v>23</v>
      </c>
      <c r="B5" s="3" t="s">
        <v>618</v>
      </c>
      <c r="C5" s="3" t="s">
        <v>619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 x14ac:dyDescent="0.3">
      <c r="A6" s="2" t="s">
        <v>28</v>
      </c>
      <c r="B6" s="3" t="s">
        <v>620</v>
      </c>
      <c r="C6" s="3" t="s">
        <v>621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 x14ac:dyDescent="0.3">
      <c r="A7" s="2" t="s">
        <v>33</v>
      </c>
      <c r="B7" s="3" t="s">
        <v>622</v>
      </c>
      <c r="C7" s="3" t="s">
        <v>623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 x14ac:dyDescent="0.3">
      <c r="A8" s="2" t="s">
        <v>37</v>
      </c>
      <c r="B8" s="3" t="s">
        <v>624</v>
      </c>
      <c r="C8" s="3" t="s">
        <v>625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 x14ac:dyDescent="0.3">
      <c r="A9" s="2" t="s">
        <v>42</v>
      </c>
      <c r="B9" s="3" t="s">
        <v>626</v>
      </c>
      <c r="C9" s="3" t="s">
        <v>627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 x14ac:dyDescent="0.3">
      <c r="A10" s="2" t="s">
        <v>46</v>
      </c>
      <c r="B10" s="3" t="s">
        <v>628</v>
      </c>
      <c r="C10" s="3" t="s">
        <v>629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 x14ac:dyDescent="0.3">
      <c r="A11" s="2" t="s">
        <v>50</v>
      </c>
      <c r="B11" s="3" t="s">
        <v>630</v>
      </c>
      <c r="C11" s="3" t="s">
        <v>631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 x14ac:dyDescent="0.3">
      <c r="A12" s="2" t="s">
        <v>54</v>
      </c>
      <c r="B12" s="3" t="s">
        <v>632</v>
      </c>
      <c r="C12" s="3" t="s">
        <v>633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 x14ac:dyDescent="0.3">
      <c r="A13" s="2" t="s">
        <v>58</v>
      </c>
      <c r="B13" s="3" t="s">
        <v>634</v>
      </c>
      <c r="C13" s="3" t="s">
        <v>635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 x14ac:dyDescent="0.3">
      <c r="A14" s="2" t="s">
        <v>63</v>
      </c>
      <c r="B14" s="3" t="s">
        <v>636</v>
      </c>
      <c r="C14" s="3" t="s">
        <v>637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 x14ac:dyDescent="0.3">
      <c r="A15" s="2" t="s">
        <v>68</v>
      </c>
      <c r="B15" s="3" t="s">
        <v>638</v>
      </c>
      <c r="C15" s="3" t="s">
        <v>639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 x14ac:dyDescent="0.3">
      <c r="A16" s="2" t="s">
        <v>72</v>
      </c>
      <c r="B16" s="3" t="s">
        <v>640</v>
      </c>
      <c r="C16" s="3" t="s">
        <v>641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 x14ac:dyDescent="0.3">
      <c r="A17" s="2" t="s">
        <v>76</v>
      </c>
      <c r="B17" s="3" t="s">
        <v>642</v>
      </c>
      <c r="C17" s="3" t="s">
        <v>643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 x14ac:dyDescent="0.3">
      <c r="A18" s="2" t="s">
        <v>81</v>
      </c>
      <c r="B18" s="3" t="s">
        <v>644</v>
      </c>
      <c r="C18" s="3" t="s">
        <v>645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 x14ac:dyDescent="0.3">
      <c r="A19" s="2" t="s">
        <v>85</v>
      </c>
      <c r="B19" s="3" t="s">
        <v>646</v>
      </c>
      <c r="C19" s="3" t="s">
        <v>631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 x14ac:dyDescent="0.3">
      <c r="A20" s="2" t="s">
        <v>88</v>
      </c>
      <c r="B20" s="3" t="s">
        <v>647</v>
      </c>
      <c r="C20" s="3" t="s">
        <v>648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 x14ac:dyDescent="0.3">
      <c r="A21" s="2" t="s">
        <v>94</v>
      </c>
      <c r="B21" s="3" t="s">
        <v>649</v>
      </c>
      <c r="C21" s="3" t="s">
        <v>650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 x14ac:dyDescent="0.3">
      <c r="A22" s="2" t="s">
        <v>99</v>
      </c>
      <c r="B22" s="3" t="s">
        <v>651</v>
      </c>
      <c r="C22" s="3" t="s">
        <v>652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 x14ac:dyDescent="0.3">
      <c r="A23" s="2" t="s">
        <v>103</v>
      </c>
      <c r="B23" s="3" t="s">
        <v>653</v>
      </c>
      <c r="C23" s="3" t="s">
        <v>654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 x14ac:dyDescent="0.3">
      <c r="A24" s="2" t="s">
        <v>107</v>
      </c>
      <c r="B24" s="3" t="s">
        <v>655</v>
      </c>
      <c r="C24" s="3" t="s">
        <v>656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 x14ac:dyDescent="0.3">
      <c r="A25" s="2" t="s">
        <v>112</v>
      </c>
      <c r="B25" s="3" t="s">
        <v>657</v>
      </c>
      <c r="C25" s="3" t="s">
        <v>658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 x14ac:dyDescent="0.3">
      <c r="A26" s="2" t="s">
        <v>117</v>
      </c>
      <c r="B26" s="3" t="s">
        <v>659</v>
      </c>
      <c r="C26" s="3" t="s">
        <v>660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 x14ac:dyDescent="0.3">
      <c r="A27" s="2" t="s">
        <v>121</v>
      </c>
      <c r="B27" s="3" t="s">
        <v>661</v>
      </c>
      <c r="C27" s="3" t="s">
        <v>662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 x14ac:dyDescent="0.3">
      <c r="A28" s="2" t="s">
        <v>124</v>
      </c>
      <c r="B28" s="3" t="s">
        <v>640</v>
      </c>
      <c r="C28" s="3" t="s">
        <v>663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 x14ac:dyDescent="0.3">
      <c r="A29" s="2" t="s">
        <v>128</v>
      </c>
      <c r="B29" s="3" t="s">
        <v>664</v>
      </c>
      <c r="C29" s="3" t="s">
        <v>665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 x14ac:dyDescent="0.3">
      <c r="A30" s="2" t="s">
        <v>132</v>
      </c>
      <c r="B30" s="3" t="s">
        <v>666</v>
      </c>
      <c r="C30" s="3" t="s">
        <v>667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 x14ac:dyDescent="0.3">
      <c r="A31" s="2" t="s">
        <v>138</v>
      </c>
      <c r="B31" s="3" t="s">
        <v>668</v>
      </c>
      <c r="C31" s="3" t="s">
        <v>669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 x14ac:dyDescent="0.3">
      <c r="A32" s="2" t="s">
        <v>143</v>
      </c>
      <c r="B32" s="3" t="s">
        <v>670</v>
      </c>
      <c r="C32" s="3" t="s">
        <v>671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 x14ac:dyDescent="0.3">
      <c r="A33" s="2" t="s">
        <v>145</v>
      </c>
      <c r="B33" s="3" t="s">
        <v>672</v>
      </c>
      <c r="C33" s="3" t="s">
        <v>673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 x14ac:dyDescent="0.3">
      <c r="A34" s="2" t="s">
        <v>150</v>
      </c>
      <c r="B34" s="3" t="s">
        <v>674</v>
      </c>
      <c r="C34" s="3" t="s">
        <v>675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 x14ac:dyDescent="0.3">
      <c r="A35" s="2" t="s">
        <v>153</v>
      </c>
      <c r="B35" s="3" t="s">
        <v>676</v>
      </c>
      <c r="C35" s="3" t="s">
        <v>677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 x14ac:dyDescent="0.3">
      <c r="A36" s="2" t="s">
        <v>157</v>
      </c>
      <c r="B36" s="3" t="s">
        <v>678</v>
      </c>
      <c r="C36" s="3" t="s">
        <v>679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 x14ac:dyDescent="0.3">
      <c r="A37" s="2" t="s">
        <v>161</v>
      </c>
      <c r="B37" s="3" t="s">
        <v>680</v>
      </c>
      <c r="C37" s="3" t="s">
        <v>681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 x14ac:dyDescent="0.3">
      <c r="A38" s="2" t="s">
        <v>167</v>
      </c>
      <c r="B38" s="3" t="s">
        <v>682</v>
      </c>
      <c r="C38" s="3" t="s">
        <v>683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 x14ac:dyDescent="0.3">
      <c r="A39" s="2" t="s">
        <v>171</v>
      </c>
      <c r="B39" s="3" t="s">
        <v>684</v>
      </c>
      <c r="C39" s="3" t="s">
        <v>685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 x14ac:dyDescent="0.3">
      <c r="A40" s="2" t="s">
        <v>173</v>
      </c>
      <c r="B40" s="3" t="s">
        <v>686</v>
      </c>
      <c r="C40" s="3" t="s">
        <v>687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 x14ac:dyDescent="0.3">
      <c r="A41" s="2" t="s">
        <v>177</v>
      </c>
      <c r="B41" s="3" t="s">
        <v>688</v>
      </c>
      <c r="C41" s="3" t="s">
        <v>689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 x14ac:dyDescent="0.3">
      <c r="A42" s="2" t="s">
        <v>181</v>
      </c>
      <c r="B42" s="3" t="s">
        <v>690</v>
      </c>
      <c r="C42" s="3" t="s">
        <v>691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 x14ac:dyDescent="0.3">
      <c r="A43" s="2" t="s">
        <v>185</v>
      </c>
      <c r="B43" s="3" t="s">
        <v>692</v>
      </c>
      <c r="C43" s="3" t="s">
        <v>693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 x14ac:dyDescent="0.3">
      <c r="A44" s="2" t="s">
        <v>190</v>
      </c>
      <c r="B44" s="3" t="s">
        <v>694</v>
      </c>
      <c r="C44" s="3" t="s">
        <v>695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 x14ac:dyDescent="0.3">
      <c r="A45" s="2" t="s">
        <v>193</v>
      </c>
      <c r="B45" s="3" t="s">
        <v>696</v>
      </c>
      <c r="C45" s="3" t="s">
        <v>697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 x14ac:dyDescent="0.3">
      <c r="A46" s="2" t="s">
        <v>197</v>
      </c>
      <c r="B46" s="3" t="s">
        <v>698</v>
      </c>
      <c r="C46" s="3" t="s">
        <v>699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 x14ac:dyDescent="0.3">
      <c r="A47" s="2" t="s">
        <v>201</v>
      </c>
      <c r="B47" s="3" t="s">
        <v>700</v>
      </c>
      <c r="C47" s="3" t="s">
        <v>701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 x14ac:dyDescent="0.3">
      <c r="A48" s="2" t="s">
        <v>206</v>
      </c>
      <c r="B48" s="3" t="s">
        <v>702</v>
      </c>
      <c r="C48" s="3" t="s">
        <v>703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 x14ac:dyDescent="0.3">
      <c r="A49" s="2" t="s">
        <v>208</v>
      </c>
      <c r="B49" s="3" t="s">
        <v>704</v>
      </c>
      <c r="C49" s="3" t="s">
        <v>705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 x14ac:dyDescent="0.3">
      <c r="A50" s="2" t="s">
        <v>210</v>
      </c>
      <c r="B50" s="3" t="s">
        <v>706</v>
      </c>
      <c r="C50" s="3" t="s">
        <v>707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 x14ac:dyDescent="0.3">
      <c r="A51" s="2" t="s">
        <v>213</v>
      </c>
      <c r="B51" s="3" t="s">
        <v>708</v>
      </c>
      <c r="C51" s="3" t="s">
        <v>709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 x14ac:dyDescent="0.3">
      <c r="A52" s="2" t="s">
        <v>217</v>
      </c>
      <c r="B52" s="3" t="s">
        <v>710</v>
      </c>
      <c r="C52" s="3" t="s">
        <v>711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 x14ac:dyDescent="0.3">
      <c r="A53" s="2" t="s">
        <v>222</v>
      </c>
      <c r="B53" s="3" t="s">
        <v>712</v>
      </c>
      <c r="C53" s="3" t="s">
        <v>713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 x14ac:dyDescent="0.3">
      <c r="A54" s="2" t="s">
        <v>224</v>
      </c>
      <c r="B54" s="3" t="s">
        <v>714</v>
      </c>
      <c r="C54" s="3" t="s">
        <v>715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 x14ac:dyDescent="0.3">
      <c r="A55" s="2" t="s">
        <v>227</v>
      </c>
      <c r="B55" s="3" t="s">
        <v>716</v>
      </c>
      <c r="C55" s="3" t="s">
        <v>717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 x14ac:dyDescent="0.3">
      <c r="A56" s="2" t="s">
        <v>231</v>
      </c>
      <c r="B56" s="3" t="s">
        <v>718</v>
      </c>
      <c r="C56" s="3" t="s">
        <v>719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 x14ac:dyDescent="0.3">
      <c r="A57" s="2" t="s">
        <v>235</v>
      </c>
      <c r="B57" s="3" t="s">
        <v>720</v>
      </c>
      <c r="C57" s="3" t="s">
        <v>721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 x14ac:dyDescent="0.3">
      <c r="A58" s="2" t="s">
        <v>237</v>
      </c>
      <c r="B58" s="3" t="s">
        <v>722</v>
      </c>
      <c r="C58" s="3" t="s">
        <v>723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 x14ac:dyDescent="0.3">
      <c r="A59" s="2" t="s">
        <v>239</v>
      </c>
      <c r="B59" s="3" t="s">
        <v>657</v>
      </c>
      <c r="C59" s="3" t="s">
        <v>724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 x14ac:dyDescent="0.3">
      <c r="A60" s="2" t="s">
        <v>242</v>
      </c>
      <c r="B60" s="3" t="s">
        <v>725</v>
      </c>
      <c r="C60" s="3" t="s">
        <v>726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 x14ac:dyDescent="0.3">
      <c r="A61" s="2" t="s">
        <v>247</v>
      </c>
      <c r="B61" s="3" t="s">
        <v>727</v>
      </c>
      <c r="C61" s="3" t="s">
        <v>728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 x14ac:dyDescent="0.3">
      <c r="A62" s="2" t="s">
        <v>252</v>
      </c>
      <c r="B62" s="3" t="s">
        <v>729</v>
      </c>
      <c r="C62" s="3" t="s">
        <v>730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 x14ac:dyDescent="0.3">
      <c r="A63" s="2" t="s">
        <v>255</v>
      </c>
      <c r="B63" s="3" t="s">
        <v>731</v>
      </c>
      <c r="C63" s="3" t="s">
        <v>732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 x14ac:dyDescent="0.3">
      <c r="A64" s="2" t="s">
        <v>258</v>
      </c>
      <c r="B64" s="3" t="s">
        <v>733</v>
      </c>
      <c r="C64" s="3" t="s">
        <v>734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 x14ac:dyDescent="0.3">
      <c r="A65" s="2" t="s">
        <v>262</v>
      </c>
      <c r="B65" s="3" t="s">
        <v>735</v>
      </c>
      <c r="C65" s="3" t="s">
        <v>736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 x14ac:dyDescent="0.3">
      <c r="A66" s="2" t="s">
        <v>268</v>
      </c>
      <c r="B66" s="3" t="s">
        <v>737</v>
      </c>
      <c r="C66" s="3" t="s">
        <v>738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 x14ac:dyDescent="0.3">
      <c r="A67" s="2" t="s">
        <v>272</v>
      </c>
      <c r="B67" s="3" t="s">
        <v>739</v>
      </c>
      <c r="C67" s="3" t="s">
        <v>740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 x14ac:dyDescent="0.3">
      <c r="A68" s="2" t="s">
        <v>275</v>
      </c>
      <c r="B68" s="3" t="s">
        <v>741</v>
      </c>
      <c r="C68" s="3" t="s">
        <v>742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 x14ac:dyDescent="0.3">
      <c r="A69" s="2" t="s">
        <v>279</v>
      </c>
      <c r="B69" s="3" t="s">
        <v>743</v>
      </c>
      <c r="C69" s="3" t="s">
        <v>744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 x14ac:dyDescent="0.3">
      <c r="A70" s="2" t="s">
        <v>283</v>
      </c>
      <c r="B70" s="3" t="s">
        <v>745</v>
      </c>
      <c r="C70" s="3" t="s">
        <v>746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 x14ac:dyDescent="0.3">
      <c r="A71" s="2" t="s">
        <v>284</v>
      </c>
      <c r="B71" s="3" t="s">
        <v>747</v>
      </c>
      <c r="C71" s="3" t="s">
        <v>748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 x14ac:dyDescent="0.3">
      <c r="A72" s="2" t="s">
        <v>289</v>
      </c>
      <c r="B72" s="3" t="s">
        <v>749</v>
      </c>
      <c r="C72" s="3" t="s">
        <v>750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 x14ac:dyDescent="0.3">
      <c r="A73" s="2" t="s">
        <v>291</v>
      </c>
      <c r="B73" s="3" t="s">
        <v>751</v>
      </c>
      <c r="C73" s="3" t="s">
        <v>752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 x14ac:dyDescent="0.3">
      <c r="A74" s="2" t="s">
        <v>295</v>
      </c>
      <c r="B74" s="3" t="s">
        <v>753</v>
      </c>
      <c r="C74" s="3" t="s">
        <v>754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 x14ac:dyDescent="0.3">
      <c r="A75" s="2" t="s">
        <v>299</v>
      </c>
      <c r="B75" s="3" t="s">
        <v>755</v>
      </c>
      <c r="C75" s="3" t="s">
        <v>756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 x14ac:dyDescent="0.3">
      <c r="A76" s="2" t="s">
        <v>302</v>
      </c>
      <c r="B76" s="3" t="s">
        <v>757</v>
      </c>
      <c r="C76" s="3" t="s">
        <v>758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 x14ac:dyDescent="0.3">
      <c r="A77" s="2" t="s">
        <v>305</v>
      </c>
      <c r="B77" s="3" t="s">
        <v>759</v>
      </c>
      <c r="C77" s="3" t="s">
        <v>760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 x14ac:dyDescent="0.3">
      <c r="A78" s="2" t="s">
        <v>309</v>
      </c>
      <c r="B78" s="3" t="s">
        <v>761</v>
      </c>
      <c r="C78" s="3" t="s">
        <v>762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 x14ac:dyDescent="0.3">
      <c r="A79" s="2" t="s">
        <v>315</v>
      </c>
      <c r="B79" s="3" t="s">
        <v>763</v>
      </c>
      <c r="C79" s="3" t="s">
        <v>764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 x14ac:dyDescent="0.3">
      <c r="A80" s="2" t="s">
        <v>320</v>
      </c>
      <c r="B80" s="3" t="s">
        <v>765</v>
      </c>
      <c r="C80" s="3" t="s">
        <v>766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 x14ac:dyDescent="0.3">
      <c r="A81" s="2" t="s">
        <v>323</v>
      </c>
      <c r="B81" s="3" t="s">
        <v>767</v>
      </c>
      <c r="C81" s="3" t="s">
        <v>768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 x14ac:dyDescent="0.3">
      <c r="A82" s="2" t="s">
        <v>328</v>
      </c>
      <c r="B82" s="3" t="s">
        <v>769</v>
      </c>
      <c r="C82" s="3" t="s">
        <v>770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 x14ac:dyDescent="0.3">
      <c r="A83" s="2" t="s">
        <v>333</v>
      </c>
      <c r="B83" s="3" t="s">
        <v>771</v>
      </c>
      <c r="C83" s="3" t="s">
        <v>772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 x14ac:dyDescent="0.3">
      <c r="A84" s="2" t="s">
        <v>337</v>
      </c>
      <c r="B84" s="3" t="s">
        <v>773</v>
      </c>
      <c r="C84" s="3" t="s">
        <v>774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 x14ac:dyDescent="0.3">
      <c r="A85" s="2" t="s">
        <v>339</v>
      </c>
      <c r="B85" s="3" t="s">
        <v>775</v>
      </c>
      <c r="C85" s="3" t="s">
        <v>776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 x14ac:dyDescent="0.3">
      <c r="A86" s="2" t="s">
        <v>342</v>
      </c>
      <c r="B86" s="3" t="s">
        <v>777</v>
      </c>
      <c r="C86" s="3" t="s">
        <v>778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 x14ac:dyDescent="0.3">
      <c r="A87" s="2" t="s">
        <v>345</v>
      </c>
      <c r="B87" s="3" t="s">
        <v>779</v>
      </c>
      <c r="C87" s="3" t="s">
        <v>780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 x14ac:dyDescent="0.3">
      <c r="A88" s="2" t="s">
        <v>350</v>
      </c>
      <c r="B88" s="3" t="s">
        <v>781</v>
      </c>
      <c r="C88" s="3" t="s">
        <v>782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 x14ac:dyDescent="0.3">
      <c r="A89" s="2" t="s">
        <v>354</v>
      </c>
      <c r="B89" s="3" t="s">
        <v>783</v>
      </c>
      <c r="C89" s="3" t="s">
        <v>784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 x14ac:dyDescent="0.3">
      <c r="A90" s="2" t="s">
        <v>360</v>
      </c>
      <c r="B90" s="3" t="s">
        <v>785</v>
      </c>
      <c r="C90" s="3" t="s">
        <v>786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 x14ac:dyDescent="0.3">
      <c r="A91" s="2" t="s">
        <v>367</v>
      </c>
      <c r="B91" s="3" t="s">
        <v>787</v>
      </c>
      <c r="C91" s="3" t="s">
        <v>788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 x14ac:dyDescent="0.3">
      <c r="A92" s="2" t="s">
        <v>371</v>
      </c>
      <c r="B92" s="3" t="s">
        <v>789</v>
      </c>
      <c r="C92" s="3" t="s">
        <v>790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 x14ac:dyDescent="0.3">
      <c r="A93" s="2" t="s">
        <v>374</v>
      </c>
      <c r="B93" s="3" t="s">
        <v>791</v>
      </c>
      <c r="C93" s="3" t="s">
        <v>792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 x14ac:dyDescent="0.3">
      <c r="A94" s="2" t="s">
        <v>379</v>
      </c>
      <c r="B94" s="3" t="s">
        <v>793</v>
      </c>
      <c r="C94" s="3" t="s">
        <v>794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 x14ac:dyDescent="0.3">
      <c r="A95" s="2" t="s">
        <v>381</v>
      </c>
      <c r="B95" s="3" t="s">
        <v>795</v>
      </c>
      <c r="C95" s="3" t="s">
        <v>796</v>
      </c>
      <c r="D95" s="6">
        <v>52</v>
      </c>
      <c r="E95" s="3"/>
      <c r="F95" s="3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">
      <c r="A96" s="2" t="s">
        <v>386</v>
      </c>
      <c r="B96" s="3" t="s">
        <v>797</v>
      </c>
      <c r="C96" s="3" t="s">
        <v>798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 x14ac:dyDescent="0.3">
      <c r="A97" s="2" t="s">
        <v>391</v>
      </c>
      <c r="B97" s="3" t="s">
        <v>799</v>
      </c>
      <c r="C97" s="3" t="s">
        <v>800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 x14ac:dyDescent="0.3">
      <c r="A98" s="2" t="s">
        <v>396</v>
      </c>
      <c r="B98" s="3" t="s">
        <v>801</v>
      </c>
      <c r="C98" s="3" t="s">
        <v>802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 x14ac:dyDescent="0.3">
      <c r="A99" s="2" t="s">
        <v>400</v>
      </c>
      <c r="B99" s="3" t="s">
        <v>803</v>
      </c>
      <c r="C99" s="3" t="s">
        <v>804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 x14ac:dyDescent="0.3">
      <c r="A100" s="2" t="s">
        <v>405</v>
      </c>
      <c r="B100" s="3" t="s">
        <v>720</v>
      </c>
      <c r="C100" s="3" t="s">
        <v>805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 x14ac:dyDescent="0.3">
      <c r="A101" s="2" t="s">
        <v>407</v>
      </c>
      <c r="B101" s="3" t="s">
        <v>806</v>
      </c>
      <c r="C101" s="3" t="s">
        <v>807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 x14ac:dyDescent="0.3">
      <c r="A102" s="2" t="s">
        <v>410</v>
      </c>
      <c r="B102" s="3" t="s">
        <v>808</v>
      </c>
      <c r="C102" s="3" t="s">
        <v>809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 x14ac:dyDescent="0.3">
      <c r="A103" s="2" t="s">
        <v>415</v>
      </c>
      <c r="B103" s="3" t="s">
        <v>810</v>
      </c>
      <c r="C103" s="3" t="s">
        <v>811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 x14ac:dyDescent="0.3">
      <c r="A104" s="2" t="s">
        <v>418</v>
      </c>
      <c r="B104" s="3" t="s">
        <v>812</v>
      </c>
      <c r="C104" s="3" t="s">
        <v>813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 x14ac:dyDescent="0.3">
      <c r="A105" s="2" t="s">
        <v>423</v>
      </c>
      <c r="B105" s="3" t="s">
        <v>814</v>
      </c>
      <c r="C105" s="3" t="s">
        <v>815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 x14ac:dyDescent="0.3">
      <c r="A106" s="2" t="s">
        <v>429</v>
      </c>
      <c r="B106" s="3" t="s">
        <v>816</v>
      </c>
      <c r="C106" s="3" t="s">
        <v>817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 x14ac:dyDescent="0.3">
      <c r="A107" s="2" t="s">
        <v>433</v>
      </c>
      <c r="B107" s="3" t="s">
        <v>818</v>
      </c>
      <c r="C107" s="3"/>
      <c r="D107" s="6">
        <v>64</v>
      </c>
      <c r="E107" s="3"/>
      <c r="F107" s="3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">
      <c r="A108" s="2" t="s">
        <v>437</v>
      </c>
      <c r="B108" s="3" t="s">
        <v>612</v>
      </c>
      <c r="C108" s="3" t="s">
        <v>819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 x14ac:dyDescent="0.3">
      <c r="A109" s="2" t="s">
        <v>440</v>
      </c>
      <c r="B109" s="3" t="s">
        <v>820</v>
      </c>
      <c r="C109" s="3" t="s">
        <v>821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 x14ac:dyDescent="0.3">
      <c r="A110" s="2" t="s">
        <v>444</v>
      </c>
      <c r="B110" s="3" t="s">
        <v>822</v>
      </c>
      <c r="C110" s="3" t="s">
        <v>823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 x14ac:dyDescent="0.3">
      <c r="A111" s="2" t="s">
        <v>446</v>
      </c>
      <c r="B111" s="3" t="s">
        <v>824</v>
      </c>
      <c r="C111" s="3" t="s">
        <v>825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 x14ac:dyDescent="0.3">
      <c r="A112" s="2" t="s">
        <v>450</v>
      </c>
      <c r="B112" s="3" t="s">
        <v>826</v>
      </c>
      <c r="C112" s="3" t="s">
        <v>827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 x14ac:dyDescent="0.3">
      <c r="A113" s="2" t="s">
        <v>454</v>
      </c>
      <c r="B113" s="3" t="s">
        <v>828</v>
      </c>
      <c r="C113" s="3" t="s">
        <v>829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 x14ac:dyDescent="0.3">
      <c r="A114" s="2" t="s">
        <v>457</v>
      </c>
      <c r="B114" s="3" t="s">
        <v>830</v>
      </c>
      <c r="C114" s="3" t="s">
        <v>831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 x14ac:dyDescent="0.3">
      <c r="A115" s="2" t="s">
        <v>461</v>
      </c>
      <c r="B115" s="3" t="s">
        <v>832</v>
      </c>
      <c r="C115" s="3" t="s">
        <v>833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 x14ac:dyDescent="0.3">
      <c r="A116" s="2" t="s">
        <v>464</v>
      </c>
      <c r="B116" s="3" t="s">
        <v>733</v>
      </c>
      <c r="C116" s="3" t="s">
        <v>834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 x14ac:dyDescent="0.3">
      <c r="A117" s="2" t="s">
        <v>466</v>
      </c>
      <c r="B117" s="3" t="s">
        <v>835</v>
      </c>
      <c r="C117" s="3" t="s">
        <v>836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 x14ac:dyDescent="0.3">
      <c r="A118" s="2" t="s">
        <v>468</v>
      </c>
      <c r="B118" s="3" t="s">
        <v>837</v>
      </c>
      <c r="C118" s="3" t="s">
        <v>838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 x14ac:dyDescent="0.3">
      <c r="A119" s="2" t="s">
        <v>472</v>
      </c>
      <c r="B119" s="3" t="s">
        <v>839</v>
      </c>
      <c r="C119" s="3" t="s">
        <v>840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 x14ac:dyDescent="0.3">
      <c r="A120" s="2" t="s">
        <v>476</v>
      </c>
      <c r="B120" s="3" t="s">
        <v>841</v>
      </c>
      <c r="C120" s="3" t="s">
        <v>842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 x14ac:dyDescent="0.3">
      <c r="A121" s="2" t="s">
        <v>481</v>
      </c>
      <c r="B121" s="3" t="s">
        <v>843</v>
      </c>
      <c r="C121" s="3" t="s">
        <v>844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 x14ac:dyDescent="0.3">
      <c r="A122" s="2" t="s">
        <v>484</v>
      </c>
      <c r="B122" s="3" t="s">
        <v>845</v>
      </c>
      <c r="C122" s="3" t="s">
        <v>846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 x14ac:dyDescent="0.3">
      <c r="A123" s="2" t="s">
        <v>488</v>
      </c>
      <c r="B123" s="3" t="s">
        <v>847</v>
      </c>
      <c r="C123" s="3" t="s">
        <v>848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 x14ac:dyDescent="0.3">
      <c r="A124" s="2" t="s">
        <v>494</v>
      </c>
      <c r="B124" s="3" t="s">
        <v>849</v>
      </c>
      <c r="C124" s="3" t="s">
        <v>850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 x14ac:dyDescent="0.3">
      <c r="A125" s="2" t="s">
        <v>495</v>
      </c>
      <c r="B125" s="3" t="s">
        <v>851</v>
      </c>
      <c r="C125" s="3" t="s">
        <v>852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 x14ac:dyDescent="0.3">
      <c r="A126" s="2" t="s">
        <v>498</v>
      </c>
      <c r="B126" s="3" t="s">
        <v>853</v>
      </c>
      <c r="C126" s="3" t="s">
        <v>854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 x14ac:dyDescent="0.3">
      <c r="A127" s="2" t="s">
        <v>502</v>
      </c>
      <c r="B127" s="3" t="s">
        <v>855</v>
      </c>
      <c r="C127" s="3" t="s">
        <v>856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 x14ac:dyDescent="0.3">
      <c r="A128" s="2" t="s">
        <v>507</v>
      </c>
      <c r="B128" s="3" t="s">
        <v>857</v>
      </c>
      <c r="C128" s="3" t="s">
        <v>858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 x14ac:dyDescent="0.3">
      <c r="A129" s="2" t="s">
        <v>511</v>
      </c>
      <c r="B129" s="3" t="s">
        <v>859</v>
      </c>
      <c r="C129" s="3" t="s">
        <v>860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 x14ac:dyDescent="0.3">
      <c r="A130" s="2" t="s">
        <v>515</v>
      </c>
      <c r="B130" s="3" t="s">
        <v>614</v>
      </c>
      <c r="C130" s="3" t="s">
        <v>861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 x14ac:dyDescent="0.3">
      <c r="A131" s="2" t="s">
        <v>520</v>
      </c>
      <c r="B131" s="3" t="s">
        <v>862</v>
      </c>
      <c r="C131" s="3" t="s">
        <v>863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 x14ac:dyDescent="0.3">
      <c r="A132" s="2" t="s">
        <v>523</v>
      </c>
      <c r="B132" s="3" t="s">
        <v>864</v>
      </c>
      <c r="C132" s="3" t="s">
        <v>865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 x14ac:dyDescent="0.3">
      <c r="A133" s="2" t="s">
        <v>526</v>
      </c>
      <c r="B133" s="3" t="s">
        <v>682</v>
      </c>
      <c r="C133" s="3" t="s">
        <v>866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 x14ac:dyDescent="0.3">
      <c r="A134" s="2" t="s">
        <v>530</v>
      </c>
      <c r="B134" s="3" t="s">
        <v>867</v>
      </c>
      <c r="C134" s="3" t="s">
        <v>868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 x14ac:dyDescent="0.3">
      <c r="A135" s="2" t="s">
        <v>534</v>
      </c>
      <c r="B135" s="3" t="s">
        <v>869</v>
      </c>
      <c r="C135" s="3" t="s">
        <v>870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 x14ac:dyDescent="0.3">
      <c r="A136" s="2" t="s">
        <v>540</v>
      </c>
      <c r="B136" s="3" t="s">
        <v>871</v>
      </c>
      <c r="C136" s="3" t="s">
        <v>872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 x14ac:dyDescent="0.3">
      <c r="A137" s="2" t="s">
        <v>544</v>
      </c>
      <c r="B137" s="3" t="s">
        <v>873</v>
      </c>
      <c r="C137" s="3" t="s">
        <v>874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 x14ac:dyDescent="0.3">
      <c r="A138" s="2" t="s">
        <v>549</v>
      </c>
      <c r="B138" s="3" t="s">
        <v>875</v>
      </c>
      <c r="C138" s="3" t="s">
        <v>876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 x14ac:dyDescent="0.3">
      <c r="A139" s="2" t="s">
        <v>553</v>
      </c>
      <c r="B139" s="3" t="s">
        <v>877</v>
      </c>
      <c r="C139" s="3" t="s">
        <v>878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 x14ac:dyDescent="0.3">
      <c r="A140" s="2" t="s">
        <v>557</v>
      </c>
      <c r="B140" s="3" t="s">
        <v>879</v>
      </c>
      <c r="C140" s="3" t="s">
        <v>880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 x14ac:dyDescent="0.3">
      <c r="A141" s="2" t="s">
        <v>560</v>
      </c>
      <c r="B141" s="3" t="s">
        <v>881</v>
      </c>
      <c r="C141" s="3" t="s">
        <v>882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 x14ac:dyDescent="0.3">
      <c r="A142" s="2" t="s">
        <v>562</v>
      </c>
      <c r="B142" s="3" t="s">
        <v>883</v>
      </c>
      <c r="C142" s="3" t="s">
        <v>884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 x14ac:dyDescent="0.3">
      <c r="A143" s="2" t="s">
        <v>568</v>
      </c>
      <c r="B143" s="3" t="s">
        <v>885</v>
      </c>
      <c r="C143" s="3" t="s">
        <v>886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 x14ac:dyDescent="0.3">
      <c r="A144" s="2" t="s">
        <v>570</v>
      </c>
      <c r="B144" s="3" t="s">
        <v>887</v>
      </c>
      <c r="C144" s="3" t="s">
        <v>888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 x14ac:dyDescent="0.3">
      <c r="A145" s="2" t="s">
        <v>575</v>
      </c>
      <c r="B145" s="3" t="s">
        <v>889</v>
      </c>
      <c r="C145" s="3" t="s">
        <v>890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 x14ac:dyDescent="0.3">
      <c r="A146" s="2" t="s">
        <v>577</v>
      </c>
      <c r="B146" s="3" t="s">
        <v>891</v>
      </c>
      <c r="C146" s="3" t="s">
        <v>892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 x14ac:dyDescent="0.3">
      <c r="A147" s="2" t="s">
        <v>580</v>
      </c>
      <c r="B147" s="3" t="s">
        <v>893</v>
      </c>
      <c r="C147" s="3" t="s">
        <v>894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 x14ac:dyDescent="0.3">
      <c r="A148" s="2" t="s">
        <v>586</v>
      </c>
      <c r="B148" s="3" t="s">
        <v>895</v>
      </c>
      <c r="C148" s="3" t="s">
        <v>896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 x14ac:dyDescent="0.3">
      <c r="A149" s="2" t="s">
        <v>590</v>
      </c>
      <c r="B149" s="3" t="s">
        <v>897</v>
      </c>
      <c r="C149" s="3" t="s">
        <v>898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 x14ac:dyDescent="0.3">
      <c r="A150" s="2" t="s">
        <v>592</v>
      </c>
      <c r="B150" s="3" t="s">
        <v>899</v>
      </c>
      <c r="C150" s="3" t="s">
        <v>900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CC608-994C-4563-8CEB-9A0A1BDC31F5}">
  <sheetPr codeName="Sheet4"/>
  <dimension ref="A1:J150"/>
  <sheetViews>
    <sheetView zoomScale="161" workbookViewId="0">
      <selection sqref="A1:J150"/>
    </sheetView>
  </sheetViews>
  <sheetFormatPr defaultRowHeight="14.4" x14ac:dyDescent="0.3"/>
  <cols>
    <col min="1" max="1" width="31.44140625" bestFit="1" customWidth="1"/>
    <col min="2" max="2" width="14.5546875" customWidth="1"/>
    <col min="3" max="3" width="12.109375" customWidth="1"/>
    <col min="4" max="4" width="12.77734375" customWidth="1"/>
    <col min="5" max="5" width="12.6640625" customWidth="1"/>
    <col min="7" max="7" width="13" customWidth="1"/>
    <col min="8" max="8" width="12.5546875" customWidth="1"/>
    <col min="9" max="9" width="12.88671875" customWidth="1"/>
    <col min="10" max="10" width="13.88671875" customWidth="1"/>
  </cols>
  <sheetData>
    <row r="1" spans="1:10" ht="39.6" x14ac:dyDescent="0.3">
      <c r="A1" s="5" t="s">
        <v>0</v>
      </c>
      <c r="B1" s="5" t="s">
        <v>598</v>
      </c>
      <c r="C1" s="5" t="s">
        <v>901</v>
      </c>
      <c r="D1" s="5" t="s">
        <v>902</v>
      </c>
      <c r="E1" s="5" t="s">
        <v>903</v>
      </c>
      <c r="F1" s="5" t="s">
        <v>904</v>
      </c>
      <c r="G1" s="5" t="s">
        <v>905</v>
      </c>
      <c r="H1" s="5" t="s">
        <v>906</v>
      </c>
      <c r="I1" s="5" t="s">
        <v>907</v>
      </c>
      <c r="J1" s="5" t="s">
        <v>908</v>
      </c>
    </row>
    <row r="2" spans="1:10" x14ac:dyDescent="0.3">
      <c r="A2" s="2" t="s">
        <v>9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3" t="s">
        <v>909</v>
      </c>
      <c r="I2" s="3" t="s">
        <v>910</v>
      </c>
      <c r="J2" s="3" t="s">
        <v>911</v>
      </c>
    </row>
    <row r="3" spans="1:10" x14ac:dyDescent="0.3">
      <c r="A3" s="2" t="s">
        <v>14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3" t="s">
        <v>909</v>
      </c>
      <c r="I3" s="3" t="s">
        <v>910</v>
      </c>
      <c r="J3" s="3" t="s">
        <v>911</v>
      </c>
    </row>
    <row r="4" spans="1:10" x14ac:dyDescent="0.3">
      <c r="A4" s="2" t="s">
        <v>18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3" t="s">
        <v>912</v>
      </c>
      <c r="I4" s="3" t="s">
        <v>12</v>
      </c>
      <c r="J4" s="3" t="s">
        <v>913</v>
      </c>
    </row>
    <row r="5" spans="1:10" x14ac:dyDescent="0.3">
      <c r="A5" s="2" t="s">
        <v>23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3" t="s">
        <v>912</v>
      </c>
      <c r="I5" s="3" t="s">
        <v>12</v>
      </c>
      <c r="J5" s="3" t="s">
        <v>913</v>
      </c>
    </row>
    <row r="6" spans="1:10" x14ac:dyDescent="0.3">
      <c r="A6" s="2" t="s">
        <v>28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3" t="s">
        <v>914</v>
      </c>
      <c r="I6" s="3" t="s">
        <v>915</v>
      </c>
      <c r="J6" s="3" t="s">
        <v>916</v>
      </c>
    </row>
    <row r="7" spans="1:10" x14ac:dyDescent="0.3">
      <c r="A7" s="2" t="s">
        <v>33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3" t="s">
        <v>914</v>
      </c>
      <c r="I7" s="3" t="s">
        <v>915</v>
      </c>
      <c r="J7" s="3" t="s">
        <v>916</v>
      </c>
    </row>
    <row r="8" spans="1:10" x14ac:dyDescent="0.3">
      <c r="A8" s="2" t="s">
        <v>37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3" t="s">
        <v>917</v>
      </c>
      <c r="I8" s="3" t="s">
        <v>12</v>
      </c>
      <c r="J8" s="3" t="s">
        <v>918</v>
      </c>
    </row>
    <row r="9" spans="1:10" x14ac:dyDescent="0.3">
      <c r="A9" s="2" t="s">
        <v>42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3" t="s">
        <v>917</v>
      </c>
      <c r="I9" s="3" t="s">
        <v>12</v>
      </c>
      <c r="J9" s="3" t="s">
        <v>918</v>
      </c>
    </row>
    <row r="10" spans="1:10" x14ac:dyDescent="0.3">
      <c r="A10" s="2" t="s">
        <v>46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3" t="s">
        <v>919</v>
      </c>
      <c r="I10" s="3" t="s">
        <v>920</v>
      </c>
      <c r="J10" s="3" t="s">
        <v>921</v>
      </c>
    </row>
    <row r="11" spans="1:10" x14ac:dyDescent="0.3">
      <c r="A11" s="2" t="s">
        <v>50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3" t="s">
        <v>919</v>
      </c>
      <c r="I11" s="3" t="s">
        <v>920</v>
      </c>
      <c r="J11" s="3" t="s">
        <v>921</v>
      </c>
    </row>
    <row r="12" spans="1:10" x14ac:dyDescent="0.3">
      <c r="A12" s="2" t="s">
        <v>54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3" t="s">
        <v>922</v>
      </c>
      <c r="I12" s="3" t="s">
        <v>923</v>
      </c>
      <c r="J12" s="3" t="s">
        <v>924</v>
      </c>
    </row>
    <row r="13" spans="1:10" x14ac:dyDescent="0.3">
      <c r="A13" s="2" t="s">
        <v>58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3" t="s">
        <v>922</v>
      </c>
      <c r="I13" s="3" t="s">
        <v>923</v>
      </c>
      <c r="J13" s="3" t="s">
        <v>924</v>
      </c>
    </row>
    <row r="14" spans="1:10" x14ac:dyDescent="0.3">
      <c r="A14" s="2" t="s">
        <v>63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3" t="s">
        <v>925</v>
      </c>
      <c r="I14" s="3" t="s">
        <v>12</v>
      </c>
      <c r="J14" s="3" t="s">
        <v>926</v>
      </c>
    </row>
    <row r="15" spans="1:10" x14ac:dyDescent="0.3">
      <c r="A15" s="2" t="s">
        <v>68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3" t="s">
        <v>925</v>
      </c>
      <c r="I15" s="3" t="s">
        <v>12</v>
      </c>
      <c r="J15" s="3" t="s">
        <v>926</v>
      </c>
    </row>
    <row r="16" spans="1:10" x14ac:dyDescent="0.3">
      <c r="A16" s="2" t="s">
        <v>72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">
      <c r="A17" s="2" t="s">
        <v>76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">
      <c r="A18" s="2" t="s">
        <v>81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3" t="s">
        <v>929</v>
      </c>
      <c r="I18" s="3" t="s">
        <v>926</v>
      </c>
      <c r="J18" s="3" t="s">
        <v>913</v>
      </c>
    </row>
    <row r="19" spans="1:10" x14ac:dyDescent="0.3">
      <c r="A19" s="2" t="s">
        <v>85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3" t="s">
        <v>929</v>
      </c>
      <c r="I19" s="3" t="s">
        <v>926</v>
      </c>
      <c r="J19" s="3" t="s">
        <v>913</v>
      </c>
    </row>
    <row r="20" spans="1:10" x14ac:dyDescent="0.3">
      <c r="A20" s="2" t="s">
        <v>88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3" t="s">
        <v>930</v>
      </c>
      <c r="I20" s="3" t="s">
        <v>910</v>
      </c>
      <c r="J20" s="3" t="s">
        <v>926</v>
      </c>
    </row>
    <row r="21" spans="1:10" x14ac:dyDescent="0.3">
      <c r="A21" s="2" t="s">
        <v>94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3" t="s">
        <v>930</v>
      </c>
      <c r="I21" s="3" t="s">
        <v>910</v>
      </c>
      <c r="J21" s="3" t="s">
        <v>926</v>
      </c>
    </row>
    <row r="22" spans="1:10" x14ac:dyDescent="0.3">
      <c r="A22" s="2" t="s">
        <v>99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3" t="s">
        <v>931</v>
      </c>
      <c r="I22" s="3" t="s">
        <v>932</v>
      </c>
      <c r="J22" s="3" t="s">
        <v>911</v>
      </c>
    </row>
    <row r="23" spans="1:10" x14ac:dyDescent="0.3">
      <c r="A23" s="2" t="s">
        <v>103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3" t="s">
        <v>931</v>
      </c>
      <c r="I23" s="3" t="s">
        <v>932</v>
      </c>
      <c r="J23" s="3" t="s">
        <v>911</v>
      </c>
    </row>
    <row r="24" spans="1:10" x14ac:dyDescent="0.3">
      <c r="A24" s="2" t="s">
        <v>107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3" t="s">
        <v>933</v>
      </c>
      <c r="I24" s="3" t="s">
        <v>12</v>
      </c>
      <c r="J24" s="3" t="s">
        <v>934</v>
      </c>
    </row>
    <row r="25" spans="1:10" x14ac:dyDescent="0.3">
      <c r="A25" s="2" t="s">
        <v>112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3" t="s">
        <v>933</v>
      </c>
      <c r="I25" s="3" t="s">
        <v>12</v>
      </c>
      <c r="J25" s="3" t="s">
        <v>934</v>
      </c>
    </row>
    <row r="26" spans="1:10" x14ac:dyDescent="0.3">
      <c r="A26" s="2" t="s">
        <v>117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3" t="s">
        <v>933</v>
      </c>
      <c r="I26" s="3" t="s">
        <v>910</v>
      </c>
      <c r="J26" s="3" t="s">
        <v>935</v>
      </c>
    </row>
    <row r="27" spans="1:10" x14ac:dyDescent="0.3">
      <c r="A27" s="2" t="s">
        <v>121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3" t="s">
        <v>933</v>
      </c>
      <c r="I27" s="3" t="s">
        <v>910</v>
      </c>
      <c r="J27" s="3" t="s">
        <v>935</v>
      </c>
    </row>
    <row r="28" spans="1:10" x14ac:dyDescent="0.3">
      <c r="A28" s="2" t="s">
        <v>124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">
      <c r="A29" s="2" t="s">
        <v>128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">
      <c r="A30" s="2" t="s">
        <v>132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3" t="s">
        <v>925</v>
      </c>
      <c r="I30" s="3" t="s">
        <v>938</v>
      </c>
      <c r="J30" s="3" t="s">
        <v>918</v>
      </c>
    </row>
    <row r="31" spans="1:10" x14ac:dyDescent="0.3">
      <c r="A31" s="2" t="s">
        <v>138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3" t="s">
        <v>925</v>
      </c>
      <c r="I31" s="3" t="s">
        <v>938</v>
      </c>
      <c r="J31" s="3" t="s">
        <v>918</v>
      </c>
    </row>
    <row r="32" spans="1:10" x14ac:dyDescent="0.3">
      <c r="A32" s="2" t="s">
        <v>143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3" t="s">
        <v>909</v>
      </c>
      <c r="I32" s="3" t="s">
        <v>376</v>
      </c>
      <c r="J32" s="3" t="s">
        <v>911</v>
      </c>
    </row>
    <row r="33" spans="1:10" x14ac:dyDescent="0.3">
      <c r="A33" s="2" t="s">
        <v>145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3" t="s">
        <v>909</v>
      </c>
      <c r="I33" s="3" t="s">
        <v>376</v>
      </c>
      <c r="J33" s="3" t="s">
        <v>911</v>
      </c>
    </row>
    <row r="34" spans="1:10" x14ac:dyDescent="0.3">
      <c r="A34" s="2" t="s">
        <v>150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3" t="s">
        <v>939</v>
      </c>
      <c r="I34" s="3" t="s">
        <v>12</v>
      </c>
      <c r="J34" s="3" t="s">
        <v>940</v>
      </c>
    </row>
    <row r="35" spans="1:10" x14ac:dyDescent="0.3">
      <c r="A35" s="2" t="s">
        <v>153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3" t="s">
        <v>939</v>
      </c>
      <c r="I35" s="3" t="s">
        <v>12</v>
      </c>
      <c r="J35" s="3" t="s">
        <v>940</v>
      </c>
    </row>
    <row r="36" spans="1:10" x14ac:dyDescent="0.3">
      <c r="A36" s="2" t="s">
        <v>157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3" t="s">
        <v>941</v>
      </c>
      <c r="I36" s="3" t="s">
        <v>12</v>
      </c>
      <c r="J36" s="3" t="s">
        <v>920</v>
      </c>
    </row>
    <row r="37" spans="1:10" x14ac:dyDescent="0.3">
      <c r="A37" s="2" t="s">
        <v>161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3" t="s">
        <v>941</v>
      </c>
      <c r="I37" s="3" t="s">
        <v>12</v>
      </c>
      <c r="J37" s="3" t="s">
        <v>920</v>
      </c>
    </row>
    <row r="38" spans="1:10" x14ac:dyDescent="0.3">
      <c r="A38" s="2" t="s">
        <v>167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3" t="s">
        <v>942</v>
      </c>
      <c r="I38" s="3" t="s">
        <v>943</v>
      </c>
      <c r="J38" s="3" t="s">
        <v>935</v>
      </c>
    </row>
    <row r="39" spans="1:10" x14ac:dyDescent="0.3">
      <c r="A39" s="2" t="s">
        <v>171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3" t="s">
        <v>942</v>
      </c>
      <c r="I39" s="3" t="s">
        <v>943</v>
      </c>
      <c r="J39" s="3" t="s">
        <v>935</v>
      </c>
    </row>
    <row r="40" spans="1:10" x14ac:dyDescent="0.3">
      <c r="A40" s="2" t="s">
        <v>173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3" t="s">
        <v>944</v>
      </c>
      <c r="I40" s="3" t="s">
        <v>913</v>
      </c>
      <c r="J40" s="3" t="s">
        <v>945</v>
      </c>
    </row>
    <row r="41" spans="1:10" x14ac:dyDescent="0.3">
      <c r="A41" s="2" t="s">
        <v>177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3" t="s">
        <v>944</v>
      </c>
      <c r="I41" s="3" t="s">
        <v>913</v>
      </c>
      <c r="J41" s="3" t="s">
        <v>945</v>
      </c>
    </row>
    <row r="42" spans="1:10" x14ac:dyDescent="0.3">
      <c r="A42" s="2" t="s">
        <v>181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3" t="s">
        <v>946</v>
      </c>
      <c r="I42" s="3" t="s">
        <v>12</v>
      </c>
      <c r="J42" s="3" t="s">
        <v>926</v>
      </c>
    </row>
    <row r="43" spans="1:10" x14ac:dyDescent="0.3">
      <c r="A43" s="2" t="s">
        <v>185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3" t="s">
        <v>946</v>
      </c>
      <c r="I43" s="3" t="s">
        <v>12</v>
      </c>
      <c r="J43" s="3" t="s">
        <v>926</v>
      </c>
    </row>
    <row r="44" spans="1:10" x14ac:dyDescent="0.3">
      <c r="A44" s="2" t="s">
        <v>190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3" t="s">
        <v>947</v>
      </c>
      <c r="I44" s="3" t="s">
        <v>920</v>
      </c>
      <c r="J44" s="3" t="s">
        <v>945</v>
      </c>
    </row>
    <row r="45" spans="1:10" x14ac:dyDescent="0.3">
      <c r="A45" s="2" t="s">
        <v>193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3" t="s">
        <v>947</v>
      </c>
      <c r="I45" s="3" t="s">
        <v>920</v>
      </c>
      <c r="J45" s="3" t="s">
        <v>945</v>
      </c>
    </row>
    <row r="46" spans="1:10" x14ac:dyDescent="0.3">
      <c r="A46" s="2" t="s">
        <v>197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3" t="s">
        <v>948</v>
      </c>
      <c r="I46" s="3" t="s">
        <v>949</v>
      </c>
      <c r="J46" s="3" t="s">
        <v>950</v>
      </c>
    </row>
    <row r="47" spans="1:10" x14ac:dyDescent="0.3">
      <c r="A47" s="2" t="s">
        <v>201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3" t="s">
        <v>948</v>
      </c>
      <c r="I47" s="3" t="s">
        <v>949</v>
      </c>
      <c r="J47" s="3" t="s">
        <v>950</v>
      </c>
    </row>
    <row r="48" spans="1:10" x14ac:dyDescent="0.3">
      <c r="A48" s="2" t="s">
        <v>206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">
      <c r="A49" s="2" t="s">
        <v>208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">
      <c r="A50" s="2" t="s">
        <v>210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3" t="s">
        <v>952</v>
      </c>
      <c r="I50" s="3" t="s">
        <v>953</v>
      </c>
      <c r="J50" s="3" t="s">
        <v>954</v>
      </c>
    </row>
    <row r="51" spans="1:10" x14ac:dyDescent="0.3">
      <c r="A51" s="2" t="s">
        <v>213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3" t="s">
        <v>952</v>
      </c>
      <c r="I51" s="3" t="s">
        <v>953</v>
      </c>
      <c r="J51" s="3" t="s">
        <v>954</v>
      </c>
    </row>
    <row r="52" spans="1:10" x14ac:dyDescent="0.3">
      <c r="A52" s="2" t="s">
        <v>217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3" t="s">
        <v>955</v>
      </c>
      <c r="I52" s="3"/>
      <c r="J52" s="3" t="s">
        <v>956</v>
      </c>
    </row>
    <row r="53" spans="1:10" x14ac:dyDescent="0.3">
      <c r="A53" s="2" t="s">
        <v>222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3" t="s">
        <v>955</v>
      </c>
      <c r="I53" s="3"/>
      <c r="J53" s="3" t="s">
        <v>956</v>
      </c>
    </row>
    <row r="54" spans="1:10" x14ac:dyDescent="0.3">
      <c r="A54" s="2" t="s">
        <v>224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3" t="s">
        <v>922</v>
      </c>
      <c r="I54" s="3" t="s">
        <v>934</v>
      </c>
      <c r="J54" s="3" t="s">
        <v>926</v>
      </c>
    </row>
    <row r="55" spans="1:10" x14ac:dyDescent="0.3">
      <c r="A55" s="2" t="s">
        <v>227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3" t="s">
        <v>922</v>
      </c>
      <c r="I55" s="3" t="s">
        <v>934</v>
      </c>
      <c r="J55" s="3" t="s">
        <v>926</v>
      </c>
    </row>
    <row r="56" spans="1:10" x14ac:dyDescent="0.3">
      <c r="A56" s="2" t="s">
        <v>231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">
      <c r="A57" s="2" t="s">
        <v>235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">
      <c r="A58" s="2" t="s">
        <v>237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3" t="s">
        <v>959</v>
      </c>
      <c r="I58" s="3" t="s">
        <v>960</v>
      </c>
      <c r="J58" s="3" t="s">
        <v>924</v>
      </c>
    </row>
    <row r="59" spans="1:10" x14ac:dyDescent="0.3">
      <c r="A59" s="2" t="s">
        <v>239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3" t="s">
        <v>959</v>
      </c>
      <c r="I59" s="3" t="s">
        <v>960</v>
      </c>
      <c r="J59" s="3" t="s">
        <v>924</v>
      </c>
    </row>
    <row r="60" spans="1:10" x14ac:dyDescent="0.3">
      <c r="A60" s="2" t="s">
        <v>242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">
      <c r="A61" s="2" t="s">
        <v>247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">
      <c r="A62" s="2" t="s">
        <v>252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">
      <c r="A63" s="2" t="s">
        <v>255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">
      <c r="A64" s="2" t="s">
        <v>258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3" t="s">
        <v>964</v>
      </c>
      <c r="I64" s="3" t="s">
        <v>957</v>
      </c>
      <c r="J64" s="3" t="s">
        <v>965</v>
      </c>
    </row>
    <row r="65" spans="1:10" x14ac:dyDescent="0.3">
      <c r="A65" s="2" t="s">
        <v>262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3" t="s">
        <v>964</v>
      </c>
      <c r="I65" s="3" t="s">
        <v>957</v>
      </c>
      <c r="J65" s="3" t="s">
        <v>965</v>
      </c>
    </row>
    <row r="66" spans="1:10" x14ac:dyDescent="0.3">
      <c r="A66" s="2" t="s">
        <v>268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3" t="s">
        <v>966</v>
      </c>
      <c r="I66" s="3" t="s">
        <v>920</v>
      </c>
      <c r="J66" s="3" t="s">
        <v>921</v>
      </c>
    </row>
    <row r="67" spans="1:10" x14ac:dyDescent="0.3">
      <c r="A67" s="2" t="s">
        <v>272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3" t="s">
        <v>966</v>
      </c>
      <c r="I67" s="3" t="s">
        <v>920</v>
      </c>
      <c r="J67" s="3" t="s">
        <v>921</v>
      </c>
    </row>
    <row r="68" spans="1:10" x14ac:dyDescent="0.3">
      <c r="A68" s="2" t="s">
        <v>275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3" t="s">
        <v>967</v>
      </c>
      <c r="I68" s="3" t="s">
        <v>12</v>
      </c>
      <c r="J68" s="3" t="s">
        <v>911</v>
      </c>
    </row>
    <row r="69" spans="1:10" x14ac:dyDescent="0.3">
      <c r="A69" s="2" t="s">
        <v>279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3" t="s">
        <v>967</v>
      </c>
      <c r="I69" s="3" t="s">
        <v>12</v>
      </c>
      <c r="J69" s="3" t="s">
        <v>911</v>
      </c>
    </row>
    <row r="70" spans="1:10" x14ac:dyDescent="0.3">
      <c r="A70" s="2" t="s">
        <v>283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3" t="s">
        <v>929</v>
      </c>
      <c r="I70" s="3" t="s">
        <v>910</v>
      </c>
      <c r="J70" s="3" t="s">
        <v>913</v>
      </c>
    </row>
    <row r="71" spans="1:10" x14ac:dyDescent="0.3">
      <c r="A71" s="2" t="s">
        <v>284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3" t="s">
        <v>929</v>
      </c>
      <c r="I71" s="3" t="s">
        <v>910</v>
      </c>
      <c r="J71" s="3" t="s">
        <v>913</v>
      </c>
    </row>
    <row r="72" spans="1:10" x14ac:dyDescent="0.3">
      <c r="A72" s="2" t="s">
        <v>289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3" t="s">
        <v>912</v>
      </c>
      <c r="I72" s="3" t="s">
        <v>920</v>
      </c>
      <c r="J72" s="3" t="s">
        <v>913</v>
      </c>
    </row>
    <row r="73" spans="1:10" x14ac:dyDescent="0.3">
      <c r="A73" s="2" t="s">
        <v>291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3" t="s">
        <v>912</v>
      </c>
      <c r="I73" s="3" t="s">
        <v>920</v>
      </c>
      <c r="J73" s="3" t="s">
        <v>913</v>
      </c>
    </row>
    <row r="74" spans="1:10" x14ac:dyDescent="0.3">
      <c r="A74" s="2" t="s">
        <v>295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3" t="s">
        <v>968</v>
      </c>
      <c r="I74" s="3" t="s">
        <v>12</v>
      </c>
      <c r="J74" s="3" t="s">
        <v>911</v>
      </c>
    </row>
    <row r="75" spans="1:10" x14ac:dyDescent="0.3">
      <c r="A75" s="2" t="s">
        <v>299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3" t="s">
        <v>968</v>
      </c>
      <c r="I75" s="3" t="s">
        <v>12</v>
      </c>
      <c r="J75" s="3" t="s">
        <v>911</v>
      </c>
    </row>
    <row r="76" spans="1:10" x14ac:dyDescent="0.3">
      <c r="A76" s="2" t="s">
        <v>302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3" t="s">
        <v>969</v>
      </c>
      <c r="I76" s="3" t="s">
        <v>960</v>
      </c>
      <c r="J76" s="3" t="s">
        <v>937</v>
      </c>
    </row>
    <row r="77" spans="1:10" x14ac:dyDescent="0.3">
      <c r="A77" s="2" t="s">
        <v>305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3" t="s">
        <v>969</v>
      </c>
      <c r="I77" s="3" t="s">
        <v>960</v>
      </c>
      <c r="J77" s="3" t="s">
        <v>937</v>
      </c>
    </row>
    <row r="78" spans="1:10" x14ac:dyDescent="0.3">
      <c r="A78" s="2" t="s">
        <v>309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3" t="s">
        <v>952</v>
      </c>
      <c r="I78" s="3" t="s">
        <v>12</v>
      </c>
      <c r="J78" s="3" t="s">
        <v>921</v>
      </c>
    </row>
    <row r="79" spans="1:10" x14ac:dyDescent="0.3">
      <c r="A79" s="2" t="s">
        <v>315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3" t="s">
        <v>952</v>
      </c>
      <c r="I79" s="3" t="s">
        <v>12</v>
      </c>
      <c r="J79" s="3" t="s">
        <v>921</v>
      </c>
    </row>
    <row r="80" spans="1:10" x14ac:dyDescent="0.3">
      <c r="A80" s="2" t="s">
        <v>320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">
      <c r="A81" s="2" t="s">
        <v>323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">
      <c r="A82" s="2" t="s">
        <v>328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3" t="s">
        <v>972</v>
      </c>
      <c r="I82" s="3" t="s">
        <v>12</v>
      </c>
      <c r="J82" s="3" t="s">
        <v>913</v>
      </c>
    </row>
    <row r="83" spans="1:10" x14ac:dyDescent="0.3">
      <c r="A83" s="2" t="s">
        <v>333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3" t="s">
        <v>972</v>
      </c>
      <c r="I83" s="3" t="s">
        <v>12</v>
      </c>
      <c r="J83" s="3" t="s">
        <v>913</v>
      </c>
    </row>
    <row r="84" spans="1:10" x14ac:dyDescent="0.3">
      <c r="A84" s="2" t="s">
        <v>337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">
      <c r="A85" s="2" t="s">
        <v>339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">
      <c r="A86" s="2" t="s">
        <v>342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3" t="s">
        <v>462</v>
      </c>
      <c r="I86" s="3" t="s">
        <v>910</v>
      </c>
      <c r="J86" s="3" t="s">
        <v>926</v>
      </c>
    </row>
    <row r="87" spans="1:10" x14ac:dyDescent="0.3">
      <c r="A87" s="2" t="s">
        <v>345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3" t="s">
        <v>462</v>
      </c>
      <c r="I87" s="3" t="s">
        <v>910</v>
      </c>
      <c r="J87" s="3" t="s">
        <v>926</v>
      </c>
    </row>
    <row r="88" spans="1:10" x14ac:dyDescent="0.3">
      <c r="A88" s="2" t="s">
        <v>350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3" t="s">
        <v>974</v>
      </c>
      <c r="I88" s="3" t="s">
        <v>926</v>
      </c>
      <c r="J88" s="3" t="s">
        <v>934</v>
      </c>
    </row>
    <row r="89" spans="1:10" x14ac:dyDescent="0.3">
      <c r="A89" s="2" t="s">
        <v>354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3" t="s">
        <v>974</v>
      </c>
      <c r="I89" s="3" t="s">
        <v>926</v>
      </c>
      <c r="J89" s="3" t="s">
        <v>934</v>
      </c>
    </row>
    <row r="90" spans="1:10" x14ac:dyDescent="0.3">
      <c r="A90" s="2" t="s">
        <v>360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3" t="s">
        <v>967</v>
      </c>
      <c r="I90" s="3" t="s">
        <v>973</v>
      </c>
      <c r="J90" s="3" t="s">
        <v>913</v>
      </c>
    </row>
    <row r="91" spans="1:10" x14ac:dyDescent="0.3">
      <c r="A91" s="2" t="s">
        <v>367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3" t="s">
        <v>967</v>
      </c>
      <c r="I91" s="3" t="s">
        <v>973</v>
      </c>
      <c r="J91" s="3" t="s">
        <v>913</v>
      </c>
    </row>
    <row r="92" spans="1:10" x14ac:dyDescent="0.3">
      <c r="A92" s="2" t="s">
        <v>371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3" t="s">
        <v>912</v>
      </c>
      <c r="I92" s="3" t="s">
        <v>958</v>
      </c>
      <c r="J92" s="3" t="s">
        <v>926</v>
      </c>
    </row>
    <row r="93" spans="1:10" x14ac:dyDescent="0.3">
      <c r="A93" s="2" t="s">
        <v>374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3" t="s">
        <v>912</v>
      </c>
      <c r="I93" s="3" t="s">
        <v>958</v>
      </c>
      <c r="J93" s="3" t="s">
        <v>926</v>
      </c>
    </row>
    <row r="94" spans="1:10" x14ac:dyDescent="0.3">
      <c r="A94" s="2" t="s">
        <v>379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3" t="s">
        <v>909</v>
      </c>
      <c r="I94" s="3" t="s">
        <v>975</v>
      </c>
      <c r="J94" s="3" t="s">
        <v>954</v>
      </c>
    </row>
    <row r="95" spans="1:10" x14ac:dyDescent="0.3">
      <c r="A95" s="2" t="s">
        <v>381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3" t="s">
        <v>909</v>
      </c>
      <c r="I95" s="3" t="s">
        <v>975</v>
      </c>
      <c r="J95" s="3" t="s">
        <v>954</v>
      </c>
    </row>
    <row r="96" spans="1:10" x14ac:dyDescent="0.3">
      <c r="A96" s="2" t="s">
        <v>386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3" t="s">
        <v>976</v>
      </c>
      <c r="I96" s="3" t="s">
        <v>376</v>
      </c>
      <c r="J96" s="3" t="s">
        <v>926</v>
      </c>
    </row>
    <row r="97" spans="1:10" x14ac:dyDescent="0.3">
      <c r="A97" s="2" t="s">
        <v>391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3" t="s">
        <v>976</v>
      </c>
      <c r="I97" s="3" t="s">
        <v>376</v>
      </c>
      <c r="J97" s="3" t="s">
        <v>926</v>
      </c>
    </row>
    <row r="98" spans="1:10" x14ac:dyDescent="0.3">
      <c r="A98" s="2" t="s">
        <v>396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3" t="s">
        <v>977</v>
      </c>
      <c r="I98" s="3" t="s">
        <v>12</v>
      </c>
      <c r="J98" s="3" t="s">
        <v>978</v>
      </c>
    </row>
    <row r="99" spans="1:10" x14ac:dyDescent="0.3">
      <c r="A99" s="2" t="s">
        <v>400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3" t="s">
        <v>977</v>
      </c>
      <c r="I99" s="3" t="s">
        <v>12</v>
      </c>
      <c r="J99" s="3" t="s">
        <v>978</v>
      </c>
    </row>
    <row r="100" spans="1:10" x14ac:dyDescent="0.3">
      <c r="A100" s="2" t="s">
        <v>405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3" t="s">
        <v>966</v>
      </c>
      <c r="I100" s="3" t="s">
        <v>979</v>
      </c>
      <c r="J100" s="3" t="s">
        <v>956</v>
      </c>
    </row>
    <row r="101" spans="1:10" x14ac:dyDescent="0.3">
      <c r="A101" s="2" t="s">
        <v>407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3" t="s">
        <v>966</v>
      </c>
      <c r="I101" s="3" t="s">
        <v>979</v>
      </c>
      <c r="J101" s="3" t="s">
        <v>956</v>
      </c>
    </row>
    <row r="102" spans="1:10" x14ac:dyDescent="0.3">
      <c r="A102" s="2" t="s">
        <v>410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3" t="s">
        <v>980</v>
      </c>
      <c r="I102" s="3" t="s">
        <v>376</v>
      </c>
      <c r="J102" s="3" t="s">
        <v>918</v>
      </c>
    </row>
    <row r="103" spans="1:10" x14ac:dyDescent="0.3">
      <c r="A103" s="2" t="s">
        <v>415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3" t="s">
        <v>980</v>
      </c>
      <c r="I103" s="3" t="s">
        <v>376</v>
      </c>
      <c r="J103" s="3" t="s">
        <v>918</v>
      </c>
    </row>
    <row r="104" spans="1:10" x14ac:dyDescent="0.3">
      <c r="A104" s="2" t="s">
        <v>418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3" t="s">
        <v>981</v>
      </c>
      <c r="I104" s="3" t="s">
        <v>376</v>
      </c>
      <c r="J104" s="3" t="s">
        <v>940</v>
      </c>
    </row>
    <row r="105" spans="1:10" x14ac:dyDescent="0.3">
      <c r="A105" s="2" t="s">
        <v>423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3" t="s">
        <v>981</v>
      </c>
      <c r="I105" s="3" t="s">
        <v>376</v>
      </c>
      <c r="J105" s="3" t="s">
        <v>940</v>
      </c>
    </row>
    <row r="106" spans="1:10" x14ac:dyDescent="0.3">
      <c r="A106" s="2" t="s">
        <v>429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">
      <c r="A107" s="2" t="s">
        <v>433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">
      <c r="A108" s="2" t="s">
        <v>437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3" t="s">
        <v>914</v>
      </c>
      <c r="I108" s="3" t="s">
        <v>12</v>
      </c>
      <c r="J108" s="3" t="s">
        <v>958</v>
      </c>
    </row>
    <row r="109" spans="1:10" x14ac:dyDescent="0.3">
      <c r="A109" s="2" t="s">
        <v>440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3" t="s">
        <v>914</v>
      </c>
      <c r="I109" s="3" t="s">
        <v>12</v>
      </c>
      <c r="J109" s="3" t="s">
        <v>958</v>
      </c>
    </row>
    <row r="110" spans="1:10" x14ac:dyDescent="0.3">
      <c r="A110" s="2" t="s">
        <v>444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3" t="s">
        <v>983</v>
      </c>
      <c r="I110" s="3"/>
      <c r="J110" s="3" t="s">
        <v>954</v>
      </c>
    </row>
    <row r="111" spans="1:10" x14ac:dyDescent="0.3">
      <c r="A111" s="2" t="s">
        <v>446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3" t="s">
        <v>983</v>
      </c>
      <c r="I111" s="3"/>
      <c r="J111" s="3" t="s">
        <v>954</v>
      </c>
    </row>
    <row r="112" spans="1:10" x14ac:dyDescent="0.3">
      <c r="A112" s="2" t="s">
        <v>450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">
      <c r="A113" s="2" t="s">
        <v>454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">
      <c r="A114" s="2" t="s">
        <v>457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3" t="s">
        <v>985</v>
      </c>
      <c r="I114" s="3" t="s">
        <v>956</v>
      </c>
      <c r="J114" s="3" t="s">
        <v>916</v>
      </c>
    </row>
    <row r="115" spans="1:10" x14ac:dyDescent="0.3">
      <c r="A115" s="2" t="s">
        <v>461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3" t="s">
        <v>985</v>
      </c>
      <c r="I115" s="3" t="s">
        <v>956</v>
      </c>
      <c r="J115" s="3" t="s">
        <v>916</v>
      </c>
    </row>
    <row r="116" spans="1:10" x14ac:dyDescent="0.3">
      <c r="A116" s="2" t="s">
        <v>464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3" t="s">
        <v>986</v>
      </c>
      <c r="I116" s="3" t="s">
        <v>910</v>
      </c>
      <c r="J116" s="3" t="s">
        <v>921</v>
      </c>
    </row>
    <row r="117" spans="1:10" x14ac:dyDescent="0.3">
      <c r="A117" s="2" t="s">
        <v>466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3" t="s">
        <v>986</v>
      </c>
      <c r="I117" s="3" t="s">
        <v>910</v>
      </c>
      <c r="J117" s="3" t="s">
        <v>921</v>
      </c>
    </row>
    <row r="118" spans="1:10" x14ac:dyDescent="0.3">
      <c r="A118" s="2" t="s">
        <v>468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3" t="s">
        <v>987</v>
      </c>
      <c r="I118" s="3" t="s">
        <v>988</v>
      </c>
      <c r="J118" s="3" t="s">
        <v>913</v>
      </c>
    </row>
    <row r="119" spans="1:10" x14ac:dyDescent="0.3">
      <c r="A119" s="2" t="s">
        <v>472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3" t="s">
        <v>987</v>
      </c>
      <c r="I119" s="3" t="s">
        <v>988</v>
      </c>
      <c r="J119" s="3" t="s">
        <v>913</v>
      </c>
    </row>
    <row r="120" spans="1:10" x14ac:dyDescent="0.3">
      <c r="A120" s="2" t="s">
        <v>476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3" t="s">
        <v>980</v>
      </c>
      <c r="I120" s="3" t="s">
        <v>920</v>
      </c>
      <c r="J120" s="3" t="s">
        <v>940</v>
      </c>
    </row>
    <row r="121" spans="1:10" x14ac:dyDescent="0.3">
      <c r="A121" s="2" t="s">
        <v>481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3" t="s">
        <v>980</v>
      </c>
      <c r="I121" s="3" t="s">
        <v>920</v>
      </c>
      <c r="J121" s="3" t="s">
        <v>940</v>
      </c>
    </row>
    <row r="122" spans="1:10" x14ac:dyDescent="0.3">
      <c r="A122" s="2" t="s">
        <v>484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3" t="s">
        <v>989</v>
      </c>
      <c r="I122" s="3" t="s">
        <v>12</v>
      </c>
      <c r="J122" s="3" t="s">
        <v>916</v>
      </c>
    </row>
    <row r="123" spans="1:10" x14ac:dyDescent="0.3">
      <c r="A123" s="2" t="s">
        <v>488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3" t="s">
        <v>989</v>
      </c>
      <c r="I123" s="3" t="s">
        <v>12</v>
      </c>
      <c r="J123" s="3" t="s">
        <v>916</v>
      </c>
    </row>
    <row r="124" spans="1:10" x14ac:dyDescent="0.3">
      <c r="A124" s="2" t="s">
        <v>494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3" t="s">
        <v>990</v>
      </c>
      <c r="I124" s="3" t="s">
        <v>911</v>
      </c>
      <c r="J124" s="3" t="s">
        <v>956</v>
      </c>
    </row>
    <row r="125" spans="1:10" x14ac:dyDescent="0.3">
      <c r="A125" s="2" t="s">
        <v>495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3" t="s">
        <v>990</v>
      </c>
      <c r="I125" s="3" t="s">
        <v>911</v>
      </c>
      <c r="J125" s="3" t="s">
        <v>956</v>
      </c>
    </row>
    <row r="126" spans="1:10" x14ac:dyDescent="0.3">
      <c r="A126" s="2" t="s">
        <v>498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3" t="s">
        <v>984</v>
      </c>
      <c r="I126" s="3" t="s">
        <v>916</v>
      </c>
      <c r="J126" s="3" t="s">
        <v>991</v>
      </c>
    </row>
    <row r="127" spans="1:10" x14ac:dyDescent="0.3">
      <c r="A127" s="2" t="s">
        <v>502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3" t="s">
        <v>984</v>
      </c>
      <c r="I127" s="3" t="s">
        <v>916</v>
      </c>
      <c r="J127" s="3" t="s">
        <v>991</v>
      </c>
    </row>
    <row r="128" spans="1:10" x14ac:dyDescent="0.3">
      <c r="A128" s="2" t="s">
        <v>507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3" t="s">
        <v>992</v>
      </c>
      <c r="I128" s="3" t="s">
        <v>923</v>
      </c>
      <c r="J128" s="3" t="s">
        <v>940</v>
      </c>
    </row>
    <row r="129" spans="1:10" x14ac:dyDescent="0.3">
      <c r="A129" s="2" t="s">
        <v>511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3" t="s">
        <v>992</v>
      </c>
      <c r="I129" s="3" t="s">
        <v>923</v>
      </c>
      <c r="J129" s="3" t="s">
        <v>940</v>
      </c>
    </row>
    <row r="130" spans="1:10" x14ac:dyDescent="0.3">
      <c r="A130" s="2" t="s">
        <v>515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3" t="s">
        <v>970</v>
      </c>
      <c r="I130" s="3" t="s">
        <v>12</v>
      </c>
      <c r="J130" s="3" t="s">
        <v>926</v>
      </c>
    </row>
    <row r="131" spans="1:10" x14ac:dyDescent="0.3">
      <c r="A131" s="2" t="s">
        <v>520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3" t="s">
        <v>970</v>
      </c>
      <c r="I131" s="3" t="s">
        <v>12</v>
      </c>
      <c r="J131" s="3" t="s">
        <v>926</v>
      </c>
    </row>
    <row r="132" spans="1:10" x14ac:dyDescent="0.3">
      <c r="A132" s="2" t="s">
        <v>523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3" t="s">
        <v>993</v>
      </c>
      <c r="I132" s="3" t="s">
        <v>12</v>
      </c>
      <c r="J132" s="3" t="s">
        <v>973</v>
      </c>
    </row>
    <row r="133" spans="1:10" x14ac:dyDescent="0.3">
      <c r="A133" s="2" t="s">
        <v>526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3" t="s">
        <v>993</v>
      </c>
      <c r="I133" s="3" t="s">
        <v>12</v>
      </c>
      <c r="J133" s="3" t="s">
        <v>973</v>
      </c>
    </row>
    <row r="134" spans="1:10" x14ac:dyDescent="0.3">
      <c r="A134" s="2" t="s">
        <v>530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">
      <c r="A135" s="2" t="s">
        <v>534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">
      <c r="A136" s="2" t="s">
        <v>540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3" t="s">
        <v>995</v>
      </c>
      <c r="I136" s="3" t="s">
        <v>996</v>
      </c>
      <c r="J136" s="3" t="s">
        <v>927</v>
      </c>
    </row>
    <row r="137" spans="1:10" x14ac:dyDescent="0.3">
      <c r="A137" s="2" t="s">
        <v>544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3" t="s">
        <v>995</v>
      </c>
      <c r="I137" s="3" t="s">
        <v>996</v>
      </c>
      <c r="J137" s="3" t="s">
        <v>927</v>
      </c>
    </row>
    <row r="138" spans="1:10" x14ac:dyDescent="0.3">
      <c r="A138" s="2" t="s">
        <v>549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">
      <c r="A139" s="2" t="s">
        <v>553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">
      <c r="A140" s="2" t="s">
        <v>557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">
      <c r="A141" s="2" t="s">
        <v>560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">
      <c r="A142" s="2" t="s">
        <v>562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3" t="s">
        <v>963</v>
      </c>
      <c r="I142" s="3" t="s">
        <v>998</v>
      </c>
      <c r="J142" s="3" t="s">
        <v>940</v>
      </c>
    </row>
    <row r="143" spans="1:10" x14ac:dyDescent="0.3">
      <c r="A143" s="2" t="s">
        <v>568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3" t="s">
        <v>963</v>
      </c>
      <c r="I143" s="3" t="s">
        <v>998</v>
      </c>
      <c r="J143" s="3" t="s">
        <v>940</v>
      </c>
    </row>
    <row r="144" spans="1:10" x14ac:dyDescent="0.3">
      <c r="A144" s="2" t="s">
        <v>570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3" t="s">
        <v>999</v>
      </c>
      <c r="I144" s="3" t="s">
        <v>1000</v>
      </c>
      <c r="J144" s="3" t="s">
        <v>935</v>
      </c>
    </row>
    <row r="145" spans="1:10" x14ac:dyDescent="0.3">
      <c r="A145" s="2" t="s">
        <v>575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3" t="s">
        <v>999</v>
      </c>
      <c r="I145" s="3" t="s">
        <v>1000</v>
      </c>
      <c r="J145" s="3" t="s">
        <v>935</v>
      </c>
    </row>
    <row r="146" spans="1:10" x14ac:dyDescent="0.3">
      <c r="A146" s="2" t="s">
        <v>577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3" t="s">
        <v>981</v>
      </c>
      <c r="I146" s="3" t="s">
        <v>12</v>
      </c>
      <c r="J146" s="3" t="s">
        <v>940</v>
      </c>
    </row>
    <row r="147" spans="1:10" x14ac:dyDescent="0.3">
      <c r="A147" s="2" t="s">
        <v>580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3" t="s">
        <v>981</v>
      </c>
      <c r="I147" s="3" t="s">
        <v>12</v>
      </c>
      <c r="J147" s="3" t="s">
        <v>940</v>
      </c>
    </row>
    <row r="148" spans="1:10" x14ac:dyDescent="0.3">
      <c r="A148" s="2" t="s">
        <v>586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3" t="s">
        <v>977</v>
      </c>
      <c r="I148" s="3" t="s">
        <v>12</v>
      </c>
      <c r="J148" s="3" t="s">
        <v>911</v>
      </c>
    </row>
    <row r="149" spans="1:10" x14ac:dyDescent="0.3">
      <c r="A149" s="2" t="s">
        <v>590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3" t="s">
        <v>977</v>
      </c>
      <c r="I149" s="3" t="s">
        <v>12</v>
      </c>
      <c r="J149" s="3" t="s">
        <v>911</v>
      </c>
    </row>
    <row r="150" spans="1:10" x14ac:dyDescent="0.3">
      <c r="A150" s="2" t="s">
        <v>592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2A807-1C54-43EB-944F-9BD699B71969}">
  <sheetPr codeName="Sheet5"/>
  <dimension ref="A1:G150"/>
  <sheetViews>
    <sheetView topLeftCell="B1" zoomScale="167" workbookViewId="0">
      <selection activeCell="D2" sqref="D2:D150"/>
    </sheetView>
  </sheetViews>
  <sheetFormatPr defaultRowHeight="14.4" x14ac:dyDescent="0.3"/>
  <cols>
    <col min="1" max="1" width="32.33203125" bestFit="1" customWidth="1"/>
    <col min="2" max="2" width="19.33203125" bestFit="1" customWidth="1"/>
    <col min="3" max="3" width="28.109375" customWidth="1"/>
    <col min="4" max="4" width="14.88671875" customWidth="1"/>
    <col min="5" max="5" width="13.5546875" customWidth="1"/>
    <col min="6" max="6" width="12.21875" customWidth="1"/>
    <col min="7" max="7" width="16.21875" customWidth="1"/>
  </cols>
  <sheetData>
    <row r="1" spans="1:7" ht="21.6" customHeight="1" x14ac:dyDescent="0.3">
      <c r="A1" s="8" t="s">
        <v>0</v>
      </c>
      <c r="B1" s="9" t="s">
        <v>1001</v>
      </c>
      <c r="C1" s="10" t="s">
        <v>1002</v>
      </c>
      <c r="D1" s="11" t="s">
        <v>597</v>
      </c>
      <c r="E1" s="11" t="s">
        <v>8</v>
      </c>
      <c r="F1" s="11" t="s">
        <v>598</v>
      </c>
      <c r="G1" s="11" t="s">
        <v>600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2">
        <f>TIMEVALUE(VLOOKUP(A2,E_Table,2,FALSE))</f>
        <v>0.34424768518518517</v>
      </c>
      <c r="D2" s="12">
        <f t="shared" ref="D2:D33" si="0">TIMEVALUE(VLOOKUP(A2,E_Table,3,FALSE))</f>
        <v>0.20693287037037036</v>
      </c>
      <c r="E2" s="12" t="str">
        <f t="shared" ref="E2:E33" si="1">VLOOKUP(A2,B_Table,9,FALSE)</f>
        <v>01:08:42</v>
      </c>
      <c r="F2" s="1">
        <f t="shared" ref="F2:F33" si="2">VLOOKUP(A2,E_Table,4,0)</f>
        <v>98</v>
      </c>
      <c r="G2" s="13">
        <f t="shared" ref="G2:G33" si="3">VLOOKUP(A2,E_Table,6,0)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4">MID(A3,FIND("_",A3,1)+1,FIND("(",A3,1)-FIND("_",A3,1)-2)</f>
        <v>Afzal Husain</v>
      </c>
      <c r="C3" s="12">
        <f t="shared" ref="C3:C33" si="5">TIMEVALUE(VLOOKUP(A3,E_Table,2,FALSE))</f>
        <v>0.34416666666666668</v>
      </c>
      <c r="D3" s="12">
        <f t="shared" si="0"/>
        <v>0.20733796296296297</v>
      </c>
      <c r="E3" s="12" t="str">
        <f t="shared" si="1"/>
        <v>01:09:59</v>
      </c>
      <c r="F3" s="1">
        <f t="shared" si="2"/>
        <v>23</v>
      </c>
      <c r="G3" s="13">
        <f t="shared" si="3"/>
        <v>0.58027306967984904</v>
      </c>
    </row>
    <row r="4" spans="1:7" x14ac:dyDescent="0.3">
      <c r="A4" t="str">
        <f>Break!A4</f>
        <v>Mum_Anamika Gupta (1008514)</v>
      </c>
      <c r="B4" t="str">
        <f t="shared" si="4"/>
        <v>Anamika Gupta</v>
      </c>
      <c r="C4" s="12">
        <f t="shared" si="5"/>
        <v>0.34510416666666666</v>
      </c>
      <c r="D4" s="12">
        <f t="shared" si="0"/>
        <v>0.20109953703703703</v>
      </c>
      <c r="E4" s="12" t="str">
        <f t="shared" si="1"/>
        <v>01:13:54</v>
      </c>
      <c r="F4" s="1">
        <f t="shared" si="2"/>
        <v>28</v>
      </c>
      <c r="G4" s="13">
        <f t="shared" si="3"/>
        <v>0.51708756749505302</v>
      </c>
    </row>
    <row r="5" spans="1:7" x14ac:dyDescent="0.3">
      <c r="A5" t="str">
        <f>Break!A5</f>
        <v>Mum_Anikuttan (1008515)</v>
      </c>
      <c r="B5" t="str">
        <f t="shared" si="4"/>
        <v>Anikuttan</v>
      </c>
      <c r="C5" s="12">
        <f t="shared" si="5"/>
        <v>0.34023148148148147</v>
      </c>
      <c r="D5" s="12">
        <f t="shared" si="0"/>
        <v>0.17884259259259258</v>
      </c>
      <c r="E5" s="12" t="str">
        <f t="shared" si="1"/>
        <v>02:19:02</v>
      </c>
      <c r="F5" s="1">
        <f t="shared" si="2"/>
        <v>29</v>
      </c>
      <c r="G5" s="13">
        <f t="shared" si="3"/>
        <v>0.47720778337188702</v>
      </c>
    </row>
    <row r="6" spans="1:7" x14ac:dyDescent="0.3">
      <c r="A6" t="str">
        <f>Break!A6</f>
        <v>Mum_Anil Kumar (1008516)</v>
      </c>
      <c r="B6" t="str">
        <f t="shared" si="4"/>
        <v>Anil Kumar</v>
      </c>
      <c r="C6" s="12">
        <f t="shared" si="5"/>
        <v>0.30603009259259262</v>
      </c>
      <c r="D6" s="12">
        <f t="shared" si="0"/>
        <v>0.13870370370370369</v>
      </c>
      <c r="E6" s="12" t="str">
        <f t="shared" si="1"/>
        <v>03:04:58</v>
      </c>
      <c r="F6" s="1">
        <f t="shared" si="2"/>
        <v>93</v>
      </c>
      <c r="G6" s="13">
        <f t="shared" si="3"/>
        <v>0.43288831738587802</v>
      </c>
    </row>
    <row r="7" spans="1:7" x14ac:dyDescent="0.3">
      <c r="A7" t="str">
        <f>Break!A7</f>
        <v>Mum_Anita Dixit (1008517)</v>
      </c>
      <c r="B7" t="str">
        <f t="shared" si="4"/>
        <v>Anita Dixit</v>
      </c>
      <c r="C7" s="12">
        <f t="shared" si="5"/>
        <v>0.2084375</v>
      </c>
      <c r="D7" s="12">
        <f t="shared" si="0"/>
        <v>0.15369212962962964</v>
      </c>
      <c r="E7" s="12" t="str">
        <f t="shared" si="1"/>
        <v>00:27:07</v>
      </c>
      <c r="F7" s="1">
        <f t="shared" si="2"/>
        <v>92</v>
      </c>
      <c r="G7" s="13">
        <f t="shared" si="3"/>
        <v>0.65495030262646503</v>
      </c>
    </row>
    <row r="8" spans="1:7" x14ac:dyDescent="0.3">
      <c r="A8" t="str">
        <f>Break!A8</f>
        <v>Mum_Anita Ghore (1008518)</v>
      </c>
      <c r="B8" t="str">
        <f t="shared" si="4"/>
        <v>Anita Ghore</v>
      </c>
      <c r="C8" s="12">
        <f t="shared" si="5"/>
        <v>0.34488425925925925</v>
      </c>
      <c r="D8" s="12">
        <f t="shared" si="0"/>
        <v>0.17553240740740741</v>
      </c>
      <c r="E8" s="12" t="str">
        <f t="shared" si="1"/>
        <v>02:41:42</v>
      </c>
      <c r="F8" s="1">
        <f t="shared" si="2"/>
        <v>26</v>
      </c>
      <c r="G8" s="13">
        <f t="shared" si="3"/>
        <v>0.49476474931203401</v>
      </c>
    </row>
    <row r="9" spans="1:7" x14ac:dyDescent="0.3">
      <c r="A9" t="str">
        <f>Break!A9</f>
        <v>Mum_Anjali Deoram (1008519)</v>
      </c>
      <c r="B9" t="str">
        <f t="shared" si="4"/>
        <v>Anjali Deoram</v>
      </c>
      <c r="C9" s="12">
        <f t="shared" si="5"/>
        <v>0.38646990740740739</v>
      </c>
      <c r="D9" s="12">
        <f t="shared" si="0"/>
        <v>0.24453703703703702</v>
      </c>
      <c r="E9" s="12" t="str">
        <f t="shared" si="1"/>
        <v>01:13:10</v>
      </c>
      <c r="F9" s="1">
        <f t="shared" si="2"/>
        <v>90</v>
      </c>
      <c r="G9" s="13">
        <f t="shared" si="3"/>
        <v>0.55128627474469205</v>
      </c>
    </row>
    <row r="10" spans="1:7" x14ac:dyDescent="0.3">
      <c r="A10" t="str">
        <f>Break!A10</f>
        <v>Mum_Anjali Sahay (1008520)</v>
      </c>
      <c r="B10" t="str">
        <f t="shared" si="4"/>
        <v>Anjali Sahay</v>
      </c>
      <c r="C10" s="12">
        <f t="shared" si="5"/>
        <v>0.34256944444444443</v>
      </c>
      <c r="D10" s="12">
        <f t="shared" si="0"/>
        <v>0.20311342592592593</v>
      </c>
      <c r="E10" s="12" t="str">
        <f t="shared" si="1"/>
        <v>01:06:39</v>
      </c>
      <c r="F10" s="1">
        <f t="shared" si="2"/>
        <v>89</v>
      </c>
      <c r="G10" s="13">
        <f t="shared" si="3"/>
        <v>0.55206432867085597</v>
      </c>
    </row>
    <row r="11" spans="1:7" x14ac:dyDescent="0.3">
      <c r="A11" t="str">
        <f>Break!A11</f>
        <v>Mum_Annu Latika (1008521)</v>
      </c>
      <c r="B11" t="str">
        <f t="shared" si="4"/>
        <v>Annu Latika</v>
      </c>
      <c r="C11" s="12">
        <f t="shared" si="5"/>
        <v>0.34769675925925925</v>
      </c>
      <c r="D11" s="12">
        <f t="shared" si="0"/>
        <v>0.20702546296296295</v>
      </c>
      <c r="E11" s="12" t="str">
        <f t="shared" si="1"/>
        <v>01:09:57</v>
      </c>
      <c r="F11" s="1">
        <f t="shared" si="2"/>
        <v>54</v>
      </c>
      <c r="G11" s="13">
        <f t="shared" si="3"/>
        <v>0.56868945774108703</v>
      </c>
    </row>
    <row r="12" spans="1:7" x14ac:dyDescent="0.3">
      <c r="A12" t="str">
        <f>Break!A12</f>
        <v>Mum_Anoop Narayan (1008522)</v>
      </c>
      <c r="B12" t="str">
        <f t="shared" si="4"/>
        <v>Anoop Narayan</v>
      </c>
      <c r="C12" s="12">
        <f t="shared" si="5"/>
        <v>0.34068287037037037</v>
      </c>
      <c r="D12" s="12">
        <f t="shared" si="0"/>
        <v>0.20518518518518519</v>
      </c>
      <c r="E12" s="12" t="str">
        <f t="shared" si="1"/>
        <v>01:09:15</v>
      </c>
      <c r="F12" s="1">
        <f t="shared" si="2"/>
        <v>87</v>
      </c>
      <c r="G12" s="13">
        <f t="shared" si="3"/>
        <v>0.56035332087650802</v>
      </c>
    </row>
    <row r="13" spans="1:7" x14ac:dyDescent="0.3">
      <c r="A13" t="str">
        <f>Break!A13</f>
        <v>Mum_Anoop Raj (1008523)</v>
      </c>
      <c r="B13" t="str">
        <f t="shared" si="4"/>
        <v>Anoop Raj</v>
      </c>
      <c r="C13" s="12">
        <f t="shared" si="5"/>
        <v>0.33622685185185186</v>
      </c>
      <c r="D13" s="12">
        <f t="shared" si="0"/>
        <v>0.15812499999999999</v>
      </c>
      <c r="E13" s="12" t="str">
        <f t="shared" si="1"/>
        <v>03:01:18</v>
      </c>
      <c r="F13" s="1">
        <f t="shared" si="2"/>
        <v>65</v>
      </c>
      <c r="G13" s="13">
        <f t="shared" si="3"/>
        <v>0.41552495697073999</v>
      </c>
    </row>
    <row r="14" spans="1:7" x14ac:dyDescent="0.3">
      <c r="A14" t="str">
        <f>Break!A14</f>
        <v>Mum_Anubhuti Gupta (1008524)</v>
      </c>
      <c r="B14" t="str">
        <f t="shared" si="4"/>
        <v>Anubhuti Gupta</v>
      </c>
      <c r="C14" s="12">
        <f t="shared" si="5"/>
        <v>0.34349537037037037</v>
      </c>
      <c r="D14" s="12">
        <f t="shared" si="0"/>
        <v>0.19699074074074074</v>
      </c>
      <c r="E14" s="12" t="str">
        <f t="shared" si="1"/>
        <v>02:06:41</v>
      </c>
      <c r="F14" s="1">
        <f t="shared" si="2"/>
        <v>85</v>
      </c>
      <c r="G14" s="13">
        <f t="shared" si="3"/>
        <v>0.50026955994339195</v>
      </c>
    </row>
    <row r="15" spans="1:7" x14ac:dyDescent="0.3">
      <c r="A15" t="str">
        <f>Break!A15</f>
        <v>Mum_Arun Kumar (1008525)</v>
      </c>
      <c r="B15" t="str">
        <f t="shared" si="4"/>
        <v>Arun Kumar</v>
      </c>
      <c r="C15" s="12">
        <f t="shared" si="5"/>
        <v>0.33321759259259259</v>
      </c>
      <c r="D15" s="12">
        <f t="shared" si="0"/>
        <v>0.19475694444444444</v>
      </c>
      <c r="E15" s="12" t="str">
        <f t="shared" si="1"/>
        <v>01:10:34</v>
      </c>
      <c r="F15" s="1">
        <f t="shared" si="2"/>
        <v>65</v>
      </c>
      <c r="G15" s="13">
        <f t="shared" si="3"/>
        <v>0.51396318166029897</v>
      </c>
    </row>
    <row r="16" spans="1:7" x14ac:dyDescent="0.3">
      <c r="A16" t="str">
        <f>Break!A16</f>
        <v>Mum_Ashish Kumar (1008526)</v>
      </c>
      <c r="B16" t="str">
        <f t="shared" si="4"/>
        <v>Ashish Kumar</v>
      </c>
      <c r="C16" s="12">
        <f t="shared" si="5"/>
        <v>0.34512731481481479</v>
      </c>
      <c r="D16" s="12">
        <f t="shared" si="0"/>
        <v>0.2066550925925926</v>
      </c>
      <c r="E16" s="12" t="str">
        <f t="shared" si="1"/>
        <v>01:16:59</v>
      </c>
      <c r="F16" s="1">
        <f t="shared" si="2"/>
        <v>83</v>
      </c>
      <c r="G16" s="13">
        <f t="shared" si="3"/>
        <v>0.510580502364264</v>
      </c>
    </row>
    <row r="17" spans="1:7" x14ac:dyDescent="0.3">
      <c r="A17" t="str">
        <f>Break!A17</f>
        <v>Mum_Ashok Kumar (1008527)</v>
      </c>
      <c r="B17" t="str">
        <f t="shared" si="4"/>
        <v>Ashok Kumar</v>
      </c>
      <c r="C17" s="12">
        <f t="shared" si="5"/>
        <v>0.34531250000000002</v>
      </c>
      <c r="D17" s="12">
        <f t="shared" si="0"/>
        <v>0.17390046296296297</v>
      </c>
      <c r="E17" s="12" t="str">
        <f t="shared" si="1"/>
        <v>02:24:20</v>
      </c>
      <c r="F17" s="1">
        <f t="shared" si="2"/>
        <v>82</v>
      </c>
      <c r="G17" s="13">
        <f t="shared" si="3"/>
        <v>0.48292274174627098</v>
      </c>
    </row>
    <row r="18" spans="1:7" x14ac:dyDescent="0.3">
      <c r="A18" t="str">
        <f>Break!A18</f>
        <v>Hyd_Ashok Kumar (1008528)</v>
      </c>
      <c r="B18" t="str">
        <f t="shared" si="4"/>
        <v>Ashok Kumar</v>
      </c>
      <c r="C18" s="12">
        <f t="shared" si="5"/>
        <v>0.32848379629629632</v>
      </c>
      <c r="D18" s="12">
        <f t="shared" si="0"/>
        <v>0.1973611111111111</v>
      </c>
      <c r="E18" s="12" t="str">
        <f t="shared" si="1"/>
        <v>00:56:29</v>
      </c>
      <c r="F18" s="1">
        <f t="shared" si="2"/>
        <v>81</v>
      </c>
      <c r="G18" s="13">
        <f t="shared" si="3"/>
        <v>0.57362319861879396</v>
      </c>
    </row>
    <row r="19" spans="1:7" x14ac:dyDescent="0.3">
      <c r="A19" t="str">
        <f>Break!A19</f>
        <v>Hyd_Ashok Kumar (1008529)</v>
      </c>
      <c r="B19" t="str">
        <f t="shared" si="4"/>
        <v>Ashok Kumar</v>
      </c>
      <c r="C19" s="12">
        <f t="shared" si="5"/>
        <v>0.34494212962962961</v>
      </c>
      <c r="D19" s="12">
        <f t="shared" si="0"/>
        <v>0.20702546296296295</v>
      </c>
      <c r="E19" s="12" t="str">
        <f t="shared" si="1"/>
        <v>01:10:07</v>
      </c>
      <c r="F19" s="1">
        <f t="shared" si="2"/>
        <v>80</v>
      </c>
      <c r="G19" s="13">
        <f t="shared" si="3"/>
        <v>0.56430560681810604</v>
      </c>
    </row>
    <row r="20" spans="1:7" x14ac:dyDescent="0.3">
      <c r="A20" t="str">
        <f>Break!A20</f>
        <v>Hyd_Ashok Kumar (1008530)</v>
      </c>
      <c r="B20" t="str">
        <f t="shared" si="4"/>
        <v>Ashok Kumar</v>
      </c>
      <c r="C20" s="12">
        <f t="shared" si="5"/>
        <v>0.34810185185185183</v>
      </c>
      <c r="D20" s="12">
        <f t="shared" si="0"/>
        <v>0.18267361111111111</v>
      </c>
      <c r="E20" s="12" t="str">
        <f t="shared" si="1"/>
        <v>02:40:10</v>
      </c>
      <c r="F20" s="1">
        <f t="shared" si="2"/>
        <v>79</v>
      </c>
      <c r="G20" s="13">
        <f t="shared" si="3"/>
        <v>0.46974331693044302</v>
      </c>
    </row>
    <row r="21" spans="1:7" x14ac:dyDescent="0.3">
      <c r="A21" t="str">
        <f>Break!A21</f>
        <v>Hyd_Ashok Mahto (1008531)</v>
      </c>
      <c r="B21" t="str">
        <f t="shared" si="4"/>
        <v>Ashok Mahto</v>
      </c>
      <c r="C21" s="12">
        <f t="shared" si="5"/>
        <v>0.34574074074074074</v>
      </c>
      <c r="D21" s="12">
        <f t="shared" si="0"/>
        <v>0.20710648148148147</v>
      </c>
      <c r="E21" s="12" t="str">
        <f t="shared" si="1"/>
        <v>01:14:30</v>
      </c>
      <c r="F21" s="1">
        <f t="shared" si="2"/>
        <v>78</v>
      </c>
      <c r="G21" s="13">
        <f t="shared" si="3"/>
        <v>0.57495313336904097</v>
      </c>
    </row>
    <row r="22" spans="1:7" x14ac:dyDescent="0.3">
      <c r="A22" t="str">
        <f>Break!A22</f>
        <v>Hyd_Atul Kumar (1008532)</v>
      </c>
      <c r="B22" t="str">
        <f t="shared" si="4"/>
        <v>Atul Kumar</v>
      </c>
      <c r="C22" s="12">
        <f t="shared" si="5"/>
        <v>0.34283564814814815</v>
      </c>
      <c r="D22" s="12">
        <f t="shared" si="0"/>
        <v>0.20393518518518519</v>
      </c>
      <c r="E22" s="12" t="str">
        <f t="shared" si="1"/>
        <v>01:06:59</v>
      </c>
      <c r="F22" s="1">
        <f t="shared" si="2"/>
        <v>77</v>
      </c>
      <c r="G22" s="13">
        <f t="shared" si="3"/>
        <v>0.57945376590932096</v>
      </c>
    </row>
    <row r="23" spans="1:7" x14ac:dyDescent="0.3">
      <c r="A23" t="str">
        <f>Break!A23</f>
        <v>Hyd_Azam (1008533)</v>
      </c>
      <c r="B23" t="str">
        <f t="shared" si="4"/>
        <v>Azam</v>
      </c>
      <c r="C23" s="12">
        <f t="shared" si="5"/>
        <v>0.34553240740740743</v>
      </c>
      <c r="D23" s="12">
        <f t="shared" si="0"/>
        <v>0.20821759259259259</v>
      </c>
      <c r="E23" s="12" t="str">
        <f t="shared" si="1"/>
        <v>01:09:47</v>
      </c>
      <c r="F23" s="1">
        <f t="shared" si="2"/>
        <v>76</v>
      </c>
      <c r="G23" s="13">
        <f t="shared" si="3"/>
        <v>0.588296375695049</v>
      </c>
    </row>
    <row r="24" spans="1:7" x14ac:dyDescent="0.3">
      <c r="A24" t="str">
        <f>Break!A24</f>
        <v>Hyd_Bhagwat Singh (1008534)</v>
      </c>
      <c r="B24" t="str">
        <f t="shared" si="4"/>
        <v>Bhagwat Singh</v>
      </c>
      <c r="C24" s="12">
        <f t="shared" si="5"/>
        <v>0.32064814814814813</v>
      </c>
      <c r="D24" s="12">
        <f t="shared" si="0"/>
        <v>0.17288194444444444</v>
      </c>
      <c r="E24" s="12" t="str">
        <f t="shared" si="1"/>
        <v>02:10:18</v>
      </c>
      <c r="F24" s="1">
        <f t="shared" si="2"/>
        <v>75</v>
      </c>
      <c r="G24" s="13">
        <f t="shared" si="3"/>
        <v>0.46267686976609901</v>
      </c>
    </row>
    <row r="25" spans="1:7" x14ac:dyDescent="0.3">
      <c r="A25" t="str">
        <f>Break!A25</f>
        <v>Hyd_Bindu Nair (1008535)</v>
      </c>
      <c r="B25" t="str">
        <f t="shared" si="4"/>
        <v>Bindu Nair</v>
      </c>
      <c r="C25" s="12">
        <f t="shared" si="5"/>
        <v>0.34032407407407406</v>
      </c>
      <c r="D25" s="12">
        <f t="shared" si="0"/>
        <v>0.17644675925925926</v>
      </c>
      <c r="E25" s="12" t="str">
        <f t="shared" si="1"/>
        <v>02:11:17</v>
      </c>
      <c r="F25" s="1">
        <f t="shared" si="2"/>
        <v>74</v>
      </c>
      <c r="G25" s="13">
        <f t="shared" si="3"/>
        <v>0.478030199972793</v>
      </c>
    </row>
    <row r="26" spans="1:7" x14ac:dyDescent="0.3">
      <c r="A26" t="str">
        <f>Break!A26</f>
        <v>Hyd_Daleep Singh (1008536)</v>
      </c>
      <c r="B26" t="str">
        <f t="shared" si="4"/>
        <v>Daleep Singh</v>
      </c>
      <c r="C26" s="12">
        <f t="shared" si="5"/>
        <v>0.34328703703703706</v>
      </c>
      <c r="D26" s="12">
        <f t="shared" si="0"/>
        <v>0.22703703703703704</v>
      </c>
      <c r="E26" s="12" t="str">
        <f t="shared" si="1"/>
        <v>01:12:54</v>
      </c>
      <c r="F26" s="1">
        <f t="shared" si="2"/>
        <v>73</v>
      </c>
      <c r="G26" s="13">
        <f t="shared" si="3"/>
        <v>0.59983142279163904</v>
      </c>
    </row>
    <row r="27" spans="1:7" x14ac:dyDescent="0.3">
      <c r="A27" t="str">
        <f>Break!A27</f>
        <v>Hyd_Deepak Kumar (1008537)</v>
      </c>
      <c r="B27" t="str">
        <f t="shared" si="4"/>
        <v>Deepak Kumar</v>
      </c>
      <c r="C27" s="12">
        <f t="shared" si="5"/>
        <v>0.31663194444444442</v>
      </c>
      <c r="D27" s="12">
        <f t="shared" si="0"/>
        <v>0.21199074074074073</v>
      </c>
      <c r="E27" s="12" t="str">
        <f t="shared" si="1"/>
        <v>00:30:30</v>
      </c>
      <c r="F27" s="1">
        <f t="shared" si="2"/>
        <v>72</v>
      </c>
      <c r="G27" s="13">
        <f t="shared" si="3"/>
        <v>0.65029060203969702</v>
      </c>
    </row>
    <row r="28" spans="1:7" x14ac:dyDescent="0.3">
      <c r="A28" t="str">
        <f>Break!A28</f>
        <v>Hyd_Deepika Nigam (1008538)</v>
      </c>
      <c r="B28" t="str">
        <f t="shared" si="4"/>
        <v>Deepika Nigam</v>
      </c>
      <c r="C28" s="12">
        <f t="shared" si="5"/>
        <v>0.34512731481481479</v>
      </c>
      <c r="D28" s="12">
        <f t="shared" si="0"/>
        <v>0.20607638888888888</v>
      </c>
      <c r="E28" s="12" t="str">
        <f t="shared" si="1"/>
        <v>01:11:40</v>
      </c>
      <c r="F28" s="1">
        <f t="shared" si="2"/>
        <v>71</v>
      </c>
      <c r="G28" s="13">
        <f t="shared" si="3"/>
        <v>0.55001844461584903</v>
      </c>
    </row>
    <row r="29" spans="1:7" x14ac:dyDescent="0.3">
      <c r="A29" t="str">
        <f>Break!A29</f>
        <v>Hyd_Dinesh Kumar (1008539)</v>
      </c>
      <c r="B29" t="str">
        <f t="shared" si="4"/>
        <v>Dinesh Kumar</v>
      </c>
      <c r="C29" s="12">
        <f t="shared" si="5"/>
        <v>0.34297453703703706</v>
      </c>
      <c r="D29" s="12">
        <f t="shared" si="0"/>
        <v>0.21273148148148149</v>
      </c>
      <c r="E29" s="12" t="str">
        <f t="shared" si="1"/>
        <v>01:10:03</v>
      </c>
      <c r="F29" s="1">
        <f t="shared" si="2"/>
        <v>70</v>
      </c>
      <c r="G29" s="13">
        <f t="shared" si="3"/>
        <v>0.51334660682347399</v>
      </c>
    </row>
    <row r="30" spans="1:7" x14ac:dyDescent="0.3">
      <c r="A30" t="str">
        <f>Break!A30</f>
        <v>Hyd_Hari Kumar (1008540)</v>
      </c>
      <c r="B30" t="str">
        <f t="shared" si="4"/>
        <v>Hari Kumar</v>
      </c>
      <c r="C30" s="12">
        <f t="shared" si="5"/>
        <v>0.34387731481481482</v>
      </c>
      <c r="D30" s="12">
        <f t="shared" si="0"/>
        <v>0.17480324074074075</v>
      </c>
      <c r="E30" s="12" t="str">
        <f t="shared" si="1"/>
        <v>02:44:52</v>
      </c>
      <c r="F30" s="1">
        <f t="shared" si="2"/>
        <v>69</v>
      </c>
      <c r="G30" s="13">
        <f t="shared" si="3"/>
        <v>0.43603379219817601</v>
      </c>
    </row>
    <row r="31" spans="1:7" x14ac:dyDescent="0.3">
      <c r="A31" t="str">
        <f>Break!A31</f>
        <v>Hyd_Heeramani Choudhary (1008541)</v>
      </c>
      <c r="B31" t="str">
        <f t="shared" si="4"/>
        <v>Heeramani Choudhary</v>
      </c>
      <c r="C31" s="12">
        <f t="shared" si="5"/>
        <v>0.31069444444444444</v>
      </c>
      <c r="D31" s="12">
        <f t="shared" si="0"/>
        <v>0.1912962962962963</v>
      </c>
      <c r="E31" s="12" t="str">
        <f t="shared" si="1"/>
        <v>01:20:20</v>
      </c>
      <c r="F31" s="1">
        <f t="shared" si="2"/>
        <v>68</v>
      </c>
      <c r="G31" s="13">
        <f t="shared" si="3"/>
        <v>0.52954105200417201</v>
      </c>
    </row>
    <row r="32" spans="1:7" x14ac:dyDescent="0.3">
      <c r="A32" t="str">
        <f>Break!A32</f>
        <v>Hyd_Indra Pal (1008542)</v>
      </c>
      <c r="B32" t="str">
        <f t="shared" si="4"/>
        <v>Indra Pal</v>
      </c>
      <c r="C32" s="12">
        <f t="shared" si="5"/>
        <v>0.33329861111111109</v>
      </c>
      <c r="D32" s="12">
        <f t="shared" si="0"/>
        <v>0.21824074074074074</v>
      </c>
      <c r="E32" s="12" t="str">
        <f t="shared" si="1"/>
        <v>01:09:15</v>
      </c>
      <c r="F32" s="1">
        <f t="shared" si="2"/>
        <v>67</v>
      </c>
      <c r="G32" s="13">
        <f t="shared" si="3"/>
        <v>0.56446852102649603</v>
      </c>
    </row>
    <row r="33" spans="1:7" x14ac:dyDescent="0.3">
      <c r="A33" t="str">
        <f>Break!A33</f>
        <v>Hyd_Indra Singh (1008543)</v>
      </c>
      <c r="B33" t="str">
        <f t="shared" si="4"/>
        <v>Indra Singh</v>
      </c>
      <c r="C33" s="12">
        <f t="shared" si="5"/>
        <v>0.34564814814814815</v>
      </c>
      <c r="D33" s="12">
        <f t="shared" si="0"/>
        <v>0.21184027777777778</v>
      </c>
      <c r="E33" s="12" t="str">
        <f t="shared" si="1"/>
        <v>02:09:14</v>
      </c>
      <c r="F33" s="1">
        <f t="shared" si="2"/>
        <v>66</v>
      </c>
      <c r="G33" s="13">
        <f t="shared" si="3"/>
        <v>0.49789043664612898</v>
      </c>
    </row>
    <row r="34" spans="1:7" x14ac:dyDescent="0.3">
      <c r="A34" t="str">
        <f>Break!A34</f>
        <v>Hyd_Jagdish Chandra (1008544)</v>
      </c>
      <c r="B34" t="str">
        <f t="shared" si="4"/>
        <v>Jagdish Chandra</v>
      </c>
      <c r="C34" s="12">
        <f t="shared" ref="C34:C65" si="6">TIMEVALUE(VLOOKUP(A34,E_Table,2,FALSE))</f>
        <v>0.34664351851851855</v>
      </c>
      <c r="D34" s="12">
        <f t="shared" ref="D34:D65" si="7">TIMEVALUE(VLOOKUP(A34,E_Table,3,FALSE))</f>
        <v>0.20781250000000001</v>
      </c>
      <c r="E34" s="12" t="str">
        <f t="shared" ref="E34:E65" si="8">VLOOKUP(A34,B_Table,9,FALSE)</f>
        <v>01:09:03</v>
      </c>
      <c r="F34" s="1">
        <f t="shared" ref="F34:F65" si="9">VLOOKUP(A34,E_Table,4,0)</f>
        <v>65</v>
      </c>
      <c r="G34" s="13">
        <f t="shared" ref="G34:G65" si="10">VLOOKUP(A34,E_Table,6,0)</f>
        <v>0.56270450751252099</v>
      </c>
    </row>
    <row r="35" spans="1:7" x14ac:dyDescent="0.3">
      <c r="A35" t="str">
        <f>Break!A35</f>
        <v>Hyd_Jairaj Vatham (1008545)</v>
      </c>
      <c r="B35" t="str">
        <f t="shared" si="4"/>
        <v>Jairaj Vatham</v>
      </c>
      <c r="C35" s="12">
        <f t="shared" si="6"/>
        <v>0.34471064814814817</v>
      </c>
      <c r="D35" s="12">
        <f t="shared" si="7"/>
        <v>0.20981481481481482</v>
      </c>
      <c r="E35" s="12" t="str">
        <f t="shared" si="8"/>
        <v>01:09:56</v>
      </c>
      <c r="F35" s="1">
        <f t="shared" si="9"/>
        <v>64</v>
      </c>
      <c r="G35" s="13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4"/>
        <v>Janardan Mishra</v>
      </c>
      <c r="C36" s="12">
        <f t="shared" si="6"/>
        <v>0.31923611111111111</v>
      </c>
      <c r="D36" s="12">
        <f t="shared" si="7"/>
        <v>0.18953703703703703</v>
      </c>
      <c r="E36" s="12" t="str">
        <f t="shared" si="8"/>
        <v>01:28:09</v>
      </c>
      <c r="F36" s="1">
        <f t="shared" si="9"/>
        <v>63</v>
      </c>
      <c r="G36" s="13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4"/>
        <v>Jitendra Kumar</v>
      </c>
      <c r="C37" s="12">
        <f t="shared" si="6"/>
        <v>0.34128472222222223</v>
      </c>
      <c r="D37" s="12">
        <f t="shared" si="7"/>
        <v>0.17200231481481482</v>
      </c>
      <c r="E37" s="12" t="str">
        <f t="shared" si="8"/>
        <v>02:35:12</v>
      </c>
      <c r="F37" s="1">
        <f t="shared" si="9"/>
        <v>62</v>
      </c>
      <c r="G37" s="13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4"/>
        <v>John D'Costa</v>
      </c>
      <c r="C38" s="12">
        <f t="shared" si="6"/>
        <v>0.34012731481481484</v>
      </c>
      <c r="D38" s="12">
        <f t="shared" si="7"/>
        <v>0.20243055555555556</v>
      </c>
      <c r="E38" s="12" t="str">
        <f t="shared" si="8"/>
        <v>01:09:36</v>
      </c>
      <c r="F38" s="1">
        <f t="shared" si="9"/>
        <v>61</v>
      </c>
      <c r="G38" s="13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4"/>
        <v>Julie S</v>
      </c>
      <c r="C39" s="12">
        <f t="shared" si="6"/>
        <v>0.3442824074074074</v>
      </c>
      <c r="D39" s="12">
        <f t="shared" si="7"/>
        <v>0.20569444444444446</v>
      </c>
      <c r="E39" s="12" t="str">
        <f t="shared" si="8"/>
        <v>01:10:44</v>
      </c>
      <c r="F39" s="1">
        <f t="shared" si="9"/>
        <v>60</v>
      </c>
      <c r="G39" s="13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4"/>
        <v>Jyoti Tulsani</v>
      </c>
      <c r="C40" s="12">
        <f t="shared" si="6"/>
        <v>0.3439699074074074</v>
      </c>
      <c r="D40" s="12">
        <f t="shared" si="7"/>
        <v>0.20620370370370369</v>
      </c>
      <c r="E40" s="12" t="str">
        <f t="shared" si="8"/>
        <v>01:10:27</v>
      </c>
      <c r="F40" s="1">
        <f t="shared" si="9"/>
        <v>59</v>
      </c>
      <c r="G40" s="13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4"/>
        <v>Kahkasha Parveen</v>
      </c>
      <c r="C41" s="12">
        <f t="shared" si="6"/>
        <v>0.34541666666666665</v>
      </c>
      <c r="D41" s="12">
        <f t="shared" si="7"/>
        <v>0.22590277777777779</v>
      </c>
      <c r="E41" s="12" t="str">
        <f t="shared" si="8"/>
        <v>01:10:12</v>
      </c>
      <c r="F41" s="1">
        <f t="shared" si="9"/>
        <v>58</v>
      </c>
      <c r="G41" s="13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4"/>
        <v>Kailash Nath</v>
      </c>
      <c r="C42" s="12">
        <f t="shared" si="6"/>
        <v>0.34445601851851854</v>
      </c>
      <c r="D42" s="12">
        <f t="shared" si="7"/>
        <v>0.20725694444444445</v>
      </c>
      <c r="E42" s="12" t="str">
        <f t="shared" si="8"/>
        <v>01:07:40</v>
      </c>
      <c r="F42" s="1">
        <f t="shared" si="9"/>
        <v>57</v>
      </c>
      <c r="G42" s="13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4"/>
        <v>Kalpana Agrawal</v>
      </c>
      <c r="C43" s="12">
        <f t="shared" si="6"/>
        <v>0.3334259259259259</v>
      </c>
      <c r="D43" s="12">
        <f t="shared" si="7"/>
        <v>0.16271990740740741</v>
      </c>
      <c r="E43" s="12" t="str">
        <f t="shared" si="8"/>
        <v>02:24:54</v>
      </c>
      <c r="F43" s="1">
        <f t="shared" si="9"/>
        <v>56</v>
      </c>
      <c r="G43" s="13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4"/>
        <v>Kamini Kumar</v>
      </c>
      <c r="C44" s="12">
        <f t="shared" si="6"/>
        <v>0.20945601851851853</v>
      </c>
      <c r="D44" s="12">
        <f t="shared" si="7"/>
        <v>0.13993055555555556</v>
      </c>
      <c r="E44" s="12" t="str">
        <f t="shared" si="8"/>
        <v>00:15:00</v>
      </c>
      <c r="F44" s="1">
        <f t="shared" si="9"/>
        <v>55</v>
      </c>
      <c r="G44" s="13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4"/>
        <v>Kamini Tiwari</v>
      </c>
      <c r="C45" s="12">
        <f t="shared" si="6"/>
        <v>0.35192129629629632</v>
      </c>
      <c r="D45" s="12">
        <f t="shared" si="7"/>
        <v>0.22140046296296295</v>
      </c>
      <c r="E45" s="12" t="str">
        <f t="shared" si="8"/>
        <v>01:09:45</v>
      </c>
      <c r="F45" s="1">
        <f t="shared" si="9"/>
        <v>54</v>
      </c>
      <c r="G45" s="13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4"/>
        <v>Kavita Sharma</v>
      </c>
      <c r="C46" s="12">
        <f t="shared" si="6"/>
        <v>0.32876157407407408</v>
      </c>
      <c r="D46" s="12">
        <f t="shared" si="7"/>
        <v>0.22660879629629629</v>
      </c>
      <c r="E46" s="12" t="str">
        <f t="shared" si="8"/>
        <v>00:56:19</v>
      </c>
      <c r="F46" s="1">
        <f t="shared" si="9"/>
        <v>53</v>
      </c>
      <c r="G46" s="13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4"/>
        <v>Kiran Khubchandani</v>
      </c>
      <c r="C47" s="12">
        <f t="shared" si="6"/>
        <v>0.33435185185185184</v>
      </c>
      <c r="D47" s="12">
        <f t="shared" si="7"/>
        <v>0.17586805555555557</v>
      </c>
      <c r="E47" s="12" t="str">
        <f t="shared" si="8"/>
        <v>02:10:24</v>
      </c>
      <c r="F47" s="1">
        <f t="shared" si="9"/>
        <v>52</v>
      </c>
      <c r="G47" s="13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4"/>
        <v>Kisun Sah</v>
      </c>
      <c r="C48" s="12">
        <f t="shared" si="6"/>
        <v>0.34831018518518519</v>
      </c>
      <c r="D48" s="12">
        <f t="shared" si="7"/>
        <v>0.21436342592592592</v>
      </c>
      <c r="E48" s="12" t="str">
        <f t="shared" si="8"/>
        <v>01:09:28</v>
      </c>
      <c r="F48" s="1">
        <f t="shared" si="9"/>
        <v>51</v>
      </c>
      <c r="G48" s="13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4"/>
        <v>Krishana Kumar</v>
      </c>
      <c r="C49" s="12">
        <f t="shared" si="6"/>
        <v>0.34407407407407409</v>
      </c>
      <c r="D49" s="12">
        <f t="shared" si="7"/>
        <v>0.19798611111111111</v>
      </c>
      <c r="E49" s="12" t="str">
        <f t="shared" si="8"/>
        <v>01:09:45</v>
      </c>
      <c r="F49" s="1">
        <f t="shared" si="9"/>
        <v>50</v>
      </c>
      <c r="G49" s="13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4"/>
        <v>Kunj Bihari</v>
      </c>
      <c r="C50" s="12">
        <f t="shared" si="6"/>
        <v>0.33285879629629628</v>
      </c>
      <c r="D50" s="12">
        <f t="shared" si="7"/>
        <v>0.19598379629629631</v>
      </c>
      <c r="E50" s="12" t="str">
        <f t="shared" si="8"/>
        <v>01:10:11</v>
      </c>
      <c r="F50" s="1">
        <f t="shared" si="9"/>
        <v>49</v>
      </c>
      <c r="G50" s="13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4"/>
        <v>Leena George</v>
      </c>
      <c r="C51" s="12">
        <f t="shared" si="6"/>
        <v>0.20570601851851852</v>
      </c>
      <c r="D51" s="12">
        <f t="shared" si="7"/>
        <v>0.13252314814814814</v>
      </c>
      <c r="E51" s="12" t="str">
        <f t="shared" si="8"/>
        <v>00:18:10</v>
      </c>
      <c r="F51" s="1">
        <f t="shared" si="9"/>
        <v>48</v>
      </c>
      <c r="G51" s="13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4"/>
        <v>Lilly Lucy</v>
      </c>
      <c r="C52" s="12">
        <f t="shared" si="6"/>
        <v>0.32318287037037036</v>
      </c>
      <c r="D52" s="12">
        <f t="shared" si="7"/>
        <v>0.19381944444444443</v>
      </c>
      <c r="E52" s="12" t="str">
        <f t="shared" si="8"/>
        <v>01:14:44</v>
      </c>
      <c r="F52" s="1">
        <f t="shared" si="9"/>
        <v>47</v>
      </c>
      <c r="G52" s="13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4"/>
        <v>Mangal Singh</v>
      </c>
      <c r="C53" s="12">
        <f t="shared" si="6"/>
        <v>0.33348379629629632</v>
      </c>
      <c r="D53" s="12">
        <f t="shared" si="7"/>
        <v>0.19890046296296296</v>
      </c>
      <c r="E53" s="12" t="str">
        <f t="shared" si="8"/>
        <v>01:10:04</v>
      </c>
      <c r="F53" s="1">
        <f t="shared" si="9"/>
        <v>46</v>
      </c>
      <c r="G53" s="13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4"/>
        <v>Manisha Shrivastava</v>
      </c>
      <c r="C54" s="12">
        <f t="shared" si="6"/>
        <v>0.34015046296296297</v>
      </c>
      <c r="D54" s="12">
        <f t="shared" si="7"/>
        <v>0.20222222222222222</v>
      </c>
      <c r="E54" s="12" t="str">
        <f t="shared" si="8"/>
        <v>01:10:09</v>
      </c>
      <c r="F54" s="1">
        <f t="shared" si="9"/>
        <v>45</v>
      </c>
      <c r="G54" s="13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4"/>
        <v>Manjusha Sinha</v>
      </c>
      <c r="C55" s="12">
        <f t="shared" si="6"/>
        <v>0.34311342592592592</v>
      </c>
      <c r="D55" s="12">
        <f t="shared" si="7"/>
        <v>0.21112268518518518</v>
      </c>
      <c r="E55" s="12" t="str">
        <f t="shared" si="8"/>
        <v>01:10:39</v>
      </c>
      <c r="F55" s="1">
        <f t="shared" si="9"/>
        <v>44</v>
      </c>
      <c r="G55" s="13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4"/>
        <v>ManjuTiwari Lab</v>
      </c>
      <c r="C56" s="12">
        <f t="shared" si="6"/>
        <v>0.32046296296296295</v>
      </c>
      <c r="D56" s="12">
        <f t="shared" si="7"/>
        <v>0.18484953703703705</v>
      </c>
      <c r="E56" s="12" t="str">
        <f t="shared" si="8"/>
        <v>01:10:46</v>
      </c>
      <c r="F56" s="1">
        <f t="shared" si="9"/>
        <v>43</v>
      </c>
      <c r="G56" s="13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4"/>
        <v>Manoj Kumar</v>
      </c>
      <c r="C57" s="12">
        <f t="shared" si="6"/>
        <v>0.33384259259259258</v>
      </c>
      <c r="D57" s="12">
        <f t="shared" si="7"/>
        <v>0.1867824074074074</v>
      </c>
      <c r="E57" s="12" t="str">
        <f t="shared" si="8"/>
        <v>01:09:53</v>
      </c>
      <c r="F57" s="1">
        <f t="shared" si="9"/>
        <v>42</v>
      </c>
      <c r="G57" s="13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4"/>
        <v>Manoj Kumar</v>
      </c>
      <c r="C58" s="12">
        <f t="shared" si="6"/>
        <v>0.33012731481481483</v>
      </c>
      <c r="D58" s="12">
        <f t="shared" si="7"/>
        <v>0.18739583333333334</v>
      </c>
      <c r="E58" s="12" t="str">
        <f t="shared" si="8"/>
        <v>01:15:59</v>
      </c>
      <c r="F58" s="1">
        <f t="shared" si="9"/>
        <v>41</v>
      </c>
      <c r="G58" s="13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4"/>
        <v>Masroor Adil</v>
      </c>
      <c r="C59" s="12">
        <f t="shared" si="6"/>
        <v>0.34032407407407406</v>
      </c>
      <c r="D59" s="12">
        <f t="shared" si="7"/>
        <v>0.21151620370370369</v>
      </c>
      <c r="E59" s="12" t="str">
        <f t="shared" si="8"/>
        <v>01:11:39</v>
      </c>
      <c r="F59" s="1">
        <f t="shared" si="9"/>
        <v>40</v>
      </c>
      <c r="G59" s="13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4"/>
        <v>Meena Zinjare</v>
      </c>
      <c r="C60" s="12">
        <f t="shared" si="6"/>
        <v>0.33714120370370371</v>
      </c>
      <c r="D60" s="12">
        <f t="shared" si="7"/>
        <v>0.13162037037037036</v>
      </c>
      <c r="E60" s="12" t="str">
        <f t="shared" si="8"/>
        <v>03:34:45</v>
      </c>
      <c r="F60" s="1">
        <f t="shared" si="9"/>
        <v>39</v>
      </c>
      <c r="G60" s="13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4"/>
        <v>Mehnaz Khan</v>
      </c>
      <c r="C61" s="12">
        <f t="shared" si="6"/>
        <v>0.34364583333333332</v>
      </c>
      <c r="D61" s="12">
        <f t="shared" si="7"/>
        <v>0.17246527777777779</v>
      </c>
      <c r="E61" s="12" t="str">
        <f t="shared" si="8"/>
        <v>02:12:24</v>
      </c>
      <c r="F61" s="1">
        <f t="shared" si="9"/>
        <v>38</v>
      </c>
      <c r="G61" s="13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4"/>
        <v>Mercy Thampi</v>
      </c>
      <c r="C62" s="12">
        <f t="shared" si="6"/>
        <v>0.21915509259259258</v>
      </c>
      <c r="D62" s="12">
        <f t="shared" si="7"/>
        <v>0.15189814814814814</v>
      </c>
      <c r="E62" s="12" t="str">
        <f t="shared" si="8"/>
        <v>00:15:35</v>
      </c>
      <c r="F62" s="1">
        <f t="shared" si="9"/>
        <v>37</v>
      </c>
      <c r="G62" s="13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4"/>
        <v>Miny Mole</v>
      </c>
      <c r="C63" s="12">
        <f t="shared" si="6"/>
        <v>0.3417824074074074</v>
      </c>
      <c r="D63" s="12">
        <f t="shared" si="7"/>
        <v>0.17645833333333333</v>
      </c>
      <c r="E63" s="12" t="str">
        <f t="shared" si="8"/>
        <v>02:13:07</v>
      </c>
      <c r="F63" s="1">
        <f t="shared" si="9"/>
        <v>36</v>
      </c>
      <c r="G63" s="13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4"/>
        <v>Mohd Rafi</v>
      </c>
      <c r="C64" s="12">
        <f t="shared" si="6"/>
        <v>0.33370370370370372</v>
      </c>
      <c r="D64" s="12">
        <f t="shared" si="7"/>
        <v>0.16336805555555556</v>
      </c>
      <c r="E64" s="12" t="str">
        <f t="shared" si="8"/>
        <v>02:38:29</v>
      </c>
      <c r="F64" s="1">
        <f t="shared" si="9"/>
        <v>35</v>
      </c>
      <c r="G64" s="13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4"/>
        <v>Mubeen Khan</v>
      </c>
      <c r="C65" s="12">
        <f t="shared" si="6"/>
        <v>0.33026620370370369</v>
      </c>
      <c r="D65" s="12">
        <f t="shared" si="7"/>
        <v>0.16021990740740741</v>
      </c>
      <c r="E65" s="12" t="str">
        <f t="shared" si="8"/>
        <v>02:24:38</v>
      </c>
      <c r="F65" s="1">
        <f t="shared" si="9"/>
        <v>34</v>
      </c>
      <c r="G65" s="13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4"/>
        <v>Mukesh Nagar</v>
      </c>
      <c r="C66" s="12">
        <f t="shared" ref="C66:C97" si="11">TIMEVALUE(VLOOKUP(A66,E_Table,2,FALSE))</f>
        <v>0.20910879629629631</v>
      </c>
      <c r="D66" s="12">
        <f t="shared" ref="D66:D97" si="12">TIMEVALUE(VLOOKUP(A66,E_Table,3,FALSE))</f>
        <v>0.13449074074074074</v>
      </c>
      <c r="E66" s="12" t="str">
        <f t="shared" ref="E66:E97" si="13">VLOOKUP(A66,B_Table,9,FALSE)</f>
        <v>00:29:34</v>
      </c>
      <c r="F66" s="1">
        <f t="shared" ref="F66:F97" si="14">VLOOKUP(A66,E_Table,4,0)</f>
        <v>33</v>
      </c>
      <c r="G66" s="13">
        <f t="shared" ref="G66:G97" si="15">VLOOKUP(A66,E_Table,6,0)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 t="str">
        <f t="shared" si="13"/>
        <v>01:14:03</v>
      </c>
      <c r="F67" s="1">
        <f t="shared" si="14"/>
        <v>32</v>
      </c>
      <c r="G67" s="13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 t="str">
        <f t="shared" si="13"/>
        <v>01:08:27</v>
      </c>
      <c r="F68" s="1">
        <f t="shared" si="14"/>
        <v>31</v>
      </c>
      <c r="G68" s="13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 t="str">
        <f t="shared" si="13"/>
        <v>02:15:18</v>
      </c>
      <c r="F69" s="1">
        <f t="shared" si="14"/>
        <v>30</v>
      </c>
      <c r="G69" s="13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 t="str">
        <f t="shared" si="13"/>
        <v>01:10:03</v>
      </c>
      <c r="F70" s="1">
        <f t="shared" si="14"/>
        <v>29</v>
      </c>
      <c r="G70" s="13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 t="str">
        <f t="shared" si="13"/>
        <v>01:37:25</v>
      </c>
      <c r="F71" s="1">
        <f t="shared" si="14"/>
        <v>28</v>
      </c>
      <c r="G71" s="13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 t="str">
        <f t="shared" si="13"/>
        <v>01:09:53</v>
      </c>
      <c r="F72" s="1">
        <f t="shared" si="14"/>
        <v>29</v>
      </c>
      <c r="G72" s="13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 t="str">
        <f t="shared" si="13"/>
        <v>01:36:03</v>
      </c>
      <c r="F73" s="1">
        <f t="shared" si="14"/>
        <v>30</v>
      </c>
      <c r="G73" s="13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 t="str">
        <f t="shared" si="13"/>
        <v>02:11:54</v>
      </c>
      <c r="F74" s="1">
        <f t="shared" si="14"/>
        <v>31</v>
      </c>
      <c r="G74" s="13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 t="str">
        <f t="shared" si="13"/>
        <v>02:26:26</v>
      </c>
      <c r="F75" s="1">
        <f t="shared" si="14"/>
        <v>32</v>
      </c>
      <c r="G75" s="13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 t="str">
        <f t="shared" si="13"/>
        <v>01:55:26</v>
      </c>
      <c r="F76" s="1">
        <f t="shared" si="14"/>
        <v>33</v>
      </c>
      <c r="G76" s="13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 t="str">
        <f t="shared" si="13"/>
        <v>01:38:42</v>
      </c>
      <c r="F77" s="1">
        <f t="shared" si="14"/>
        <v>34</v>
      </c>
      <c r="G77" s="13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 t="str">
        <f t="shared" si="13"/>
        <v>04:11:26</v>
      </c>
      <c r="F78" s="1">
        <f t="shared" si="14"/>
        <v>35</v>
      </c>
      <c r="G78" s="13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 t="str">
        <f t="shared" si="13"/>
        <v>04:21:06</v>
      </c>
      <c r="F79" s="1">
        <f t="shared" si="14"/>
        <v>36</v>
      </c>
      <c r="G79" s="13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 t="str">
        <f t="shared" si="13"/>
        <v>01:10:25</v>
      </c>
      <c r="F80" s="1">
        <f t="shared" si="14"/>
        <v>37</v>
      </c>
      <c r="G80" s="13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 t="str">
        <f t="shared" si="13"/>
        <v>02:37:28</v>
      </c>
      <c r="F81" s="1">
        <f t="shared" si="14"/>
        <v>38</v>
      </c>
      <c r="G81" s="13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 t="str">
        <f t="shared" si="13"/>
        <v>03:20:01</v>
      </c>
      <c r="F82" s="1">
        <f t="shared" si="14"/>
        <v>39</v>
      </c>
      <c r="G82" s="13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 t="str">
        <f t="shared" si="13"/>
        <v>01:08:32</v>
      </c>
      <c r="F83" s="1">
        <f t="shared" si="14"/>
        <v>40</v>
      </c>
      <c r="G83" s="13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 t="str">
        <f t="shared" si="13"/>
        <v>00:30:20</v>
      </c>
      <c r="F84" s="1">
        <f t="shared" si="14"/>
        <v>41</v>
      </c>
      <c r="G84" s="13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 t="str">
        <f t="shared" si="13"/>
        <v>01:08:44</v>
      </c>
      <c r="F85" s="1">
        <f t="shared" si="14"/>
        <v>42</v>
      </c>
      <c r="G85" s="13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 t="str">
        <f t="shared" si="13"/>
        <v>01:08:24</v>
      </c>
      <c r="F86" s="1">
        <f t="shared" si="14"/>
        <v>43</v>
      </c>
      <c r="G86" s="13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 t="str">
        <f t="shared" si="13"/>
        <v>01:37:06</v>
      </c>
      <c r="F87" s="1">
        <f t="shared" si="14"/>
        <v>44</v>
      </c>
      <c r="G87" s="13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 t="str">
        <f t="shared" si="13"/>
        <v>01:19:08</v>
      </c>
      <c r="F88" s="1">
        <f t="shared" si="14"/>
        <v>45</v>
      </c>
      <c r="G88" s="13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 t="str">
        <f t="shared" si="13"/>
        <v>02:34:16</v>
      </c>
      <c r="F89" s="1">
        <f t="shared" si="14"/>
        <v>46</v>
      </c>
      <c r="G89" s="13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 t="str">
        <f t="shared" si="13"/>
        <v>07:08:19</v>
      </c>
      <c r="F90" s="1">
        <f t="shared" si="14"/>
        <v>47</v>
      </c>
      <c r="G90" s="13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 t="str">
        <f t="shared" si="13"/>
        <v>01:12:04</v>
      </c>
      <c r="F91" s="1">
        <f t="shared" si="14"/>
        <v>48</v>
      </c>
      <c r="G91" s="13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 t="str">
        <f t="shared" si="13"/>
        <v>02:06:35</v>
      </c>
      <c r="F92" s="1">
        <f t="shared" si="14"/>
        <v>49</v>
      </c>
      <c r="G92" s="13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 t="str">
        <f t="shared" si="13"/>
        <v>00:24:27</v>
      </c>
      <c r="F93" s="1">
        <f t="shared" si="14"/>
        <v>50</v>
      </c>
      <c r="G93" s="13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 t="str">
        <f t="shared" si="13"/>
        <v>01:09:28</v>
      </c>
      <c r="F94" s="1">
        <f t="shared" si="14"/>
        <v>51</v>
      </c>
      <c r="G94" s="13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 t="str">
        <f t="shared" si="13"/>
        <v>08:15:09</v>
      </c>
      <c r="F95" s="1">
        <f t="shared" si="14"/>
        <v>52</v>
      </c>
      <c r="G95" s="13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 t="str">
        <f t="shared" si="13"/>
        <v>06:39:44</v>
      </c>
      <c r="F96" s="1">
        <f t="shared" si="14"/>
        <v>53</v>
      </c>
      <c r="G96" s="13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 t="str">
        <f t="shared" si="13"/>
        <v>01:13:46</v>
      </c>
      <c r="F97" s="1">
        <f t="shared" si="14"/>
        <v>54</v>
      </c>
      <c r="G97" s="13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TIMEVALUE(VLOOKUP(A98,E_Table,2,FALSE))</f>
        <v>0.33483796296296298</v>
      </c>
      <c r="D98" s="12">
        <f t="shared" ref="D98:D129" si="18">TIMEVALUE(VLOOKUP(A98,E_Table,3,FALSE))</f>
        <v>6.6759259259259254E-2</v>
      </c>
      <c r="E98" s="12" t="str">
        <f t="shared" ref="E98:E129" si="19">VLOOKUP(A98,B_Table,9,FALSE)</f>
        <v>05:45:13</v>
      </c>
      <c r="F98" s="1">
        <f t="shared" ref="F98:F129" si="20">VLOOKUP(A98,E_Table,4,0)</f>
        <v>55</v>
      </c>
      <c r="G98" s="13">
        <f t="shared" ref="G98:G129" si="21">VLOOKUP(A98,E_Table,6,0)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 t="str">
        <f t="shared" si="19"/>
        <v>02:04:58</v>
      </c>
      <c r="F99" s="1">
        <f t="shared" si="20"/>
        <v>56</v>
      </c>
      <c r="G99" s="13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 t="str">
        <f t="shared" si="19"/>
        <v>01:11:14</v>
      </c>
      <c r="F100" s="1">
        <f t="shared" si="20"/>
        <v>57</v>
      </c>
      <c r="G100" s="13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 t="str">
        <f t="shared" si="19"/>
        <v>01:09:28</v>
      </c>
      <c r="F101" s="1">
        <f t="shared" si="20"/>
        <v>58</v>
      </c>
      <c r="G101" s="13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 t="str">
        <f t="shared" si="19"/>
        <v>02:41:42</v>
      </c>
      <c r="F102" s="1">
        <f t="shared" si="20"/>
        <v>59</v>
      </c>
      <c r="G102" s="13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 t="str">
        <f t="shared" si="19"/>
        <v>01:50:37</v>
      </c>
      <c r="F103" s="1">
        <f t="shared" si="20"/>
        <v>60</v>
      </c>
      <c r="G103" s="13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 t="str">
        <f t="shared" si="19"/>
        <v>01:36:57</v>
      </c>
      <c r="F104" s="1">
        <f t="shared" si="20"/>
        <v>61</v>
      </c>
      <c r="G104" s="13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 t="str">
        <f t="shared" si="19"/>
        <v>05:07:55</v>
      </c>
      <c r="F105" s="1">
        <f t="shared" si="20"/>
        <v>62</v>
      </c>
      <c r="G105" s="13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 t="str">
        <f t="shared" si="19"/>
        <v>01:13:20</v>
      </c>
      <c r="F106" s="1">
        <f t="shared" si="20"/>
        <v>63</v>
      </c>
      <c r="G106" s="13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 t="str">
        <f t="shared" si="19"/>
        <v>08:17:00</v>
      </c>
      <c r="F107" s="1">
        <f t="shared" si="20"/>
        <v>64</v>
      </c>
      <c r="G107" s="13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 t="str">
        <f t="shared" si="19"/>
        <v>02:10:16</v>
      </c>
      <c r="F108" s="1">
        <f t="shared" si="20"/>
        <v>65</v>
      </c>
      <c r="G108" s="13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 t="str">
        <f t="shared" si="19"/>
        <v>00:53:47</v>
      </c>
      <c r="F109" s="1">
        <f t="shared" si="20"/>
        <v>66</v>
      </c>
      <c r="G109" s="13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 t="str">
        <f t="shared" si="19"/>
        <v>01:09:24</v>
      </c>
      <c r="F110" s="1">
        <f t="shared" si="20"/>
        <v>67</v>
      </c>
      <c r="G110" s="13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 t="str">
        <f t="shared" si="19"/>
        <v>01:08:40</v>
      </c>
      <c r="F111" s="1">
        <f t="shared" si="20"/>
        <v>68</v>
      </c>
      <c r="G111" s="13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 t="str">
        <f t="shared" si="19"/>
        <v>01:59:29</v>
      </c>
      <c r="F112" s="1">
        <f t="shared" si="20"/>
        <v>69</v>
      </c>
      <c r="G112" s="13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 t="str">
        <f t="shared" si="19"/>
        <v>01:09:43</v>
      </c>
      <c r="F113" s="1">
        <f t="shared" si="20"/>
        <v>70</v>
      </c>
      <c r="G113" s="13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 t="str">
        <f t="shared" si="19"/>
        <v>01:10:15</v>
      </c>
      <c r="F114" s="1">
        <f t="shared" si="20"/>
        <v>71</v>
      </c>
      <c r="G114" s="13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 t="str">
        <f t="shared" si="19"/>
        <v>01:13:56</v>
      </c>
      <c r="F115" s="1">
        <f t="shared" si="20"/>
        <v>72</v>
      </c>
      <c r="G115" s="13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 t="str">
        <f t="shared" si="19"/>
        <v>01:09:48</v>
      </c>
      <c r="F116" s="1">
        <f t="shared" si="20"/>
        <v>73</v>
      </c>
      <c r="G116" s="13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 t="str">
        <f t="shared" si="19"/>
        <v>01:10:58</v>
      </c>
      <c r="F117" s="1">
        <f t="shared" si="20"/>
        <v>74</v>
      </c>
      <c r="G117" s="13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 t="str">
        <f t="shared" si="19"/>
        <v>01:12:01</v>
      </c>
      <c r="F118" s="1">
        <f t="shared" si="20"/>
        <v>75</v>
      </c>
      <c r="G118" s="13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 t="str">
        <f t="shared" si="19"/>
        <v>01:32:37</v>
      </c>
      <c r="F119" s="1">
        <f t="shared" si="20"/>
        <v>76</v>
      </c>
      <c r="G119" s="13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 t="str">
        <f t="shared" si="19"/>
        <v>01:45:37</v>
      </c>
      <c r="F120" s="1">
        <f t="shared" si="20"/>
        <v>77</v>
      </c>
      <c r="G120" s="13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 t="str">
        <f t="shared" si="19"/>
        <v>01:08:46</v>
      </c>
      <c r="F121" s="1">
        <f t="shared" si="20"/>
        <v>78</v>
      </c>
      <c r="G121" s="13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 t="str">
        <f t="shared" si="19"/>
        <v>03:43:06</v>
      </c>
      <c r="F122" s="1">
        <f t="shared" si="20"/>
        <v>79</v>
      </c>
      <c r="G122" s="13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 t="str">
        <f t="shared" si="19"/>
        <v>03:15:05</v>
      </c>
      <c r="F123" s="1">
        <f t="shared" si="20"/>
        <v>80</v>
      </c>
      <c r="G123" s="13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 t="str">
        <f t="shared" si="19"/>
        <v>01:09:59</v>
      </c>
      <c r="F124" s="1">
        <f t="shared" si="20"/>
        <v>81</v>
      </c>
      <c r="G124" s="13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 t="str">
        <f t="shared" si="19"/>
        <v>00:55:39</v>
      </c>
      <c r="F125" s="1">
        <f t="shared" si="20"/>
        <v>82</v>
      </c>
      <c r="G125" s="13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 t="str">
        <f t="shared" si="19"/>
        <v>01:41:30</v>
      </c>
      <c r="F126" s="1">
        <f t="shared" si="20"/>
        <v>83</v>
      </c>
      <c r="G126" s="13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 t="str">
        <f t="shared" si="19"/>
        <v>03:23:49</v>
      </c>
      <c r="F127" s="1">
        <f t="shared" si="20"/>
        <v>84</v>
      </c>
      <c r="G127" s="13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 t="str">
        <f t="shared" si="19"/>
        <v>02:17:48</v>
      </c>
      <c r="F128" s="1">
        <f t="shared" si="20"/>
        <v>85</v>
      </c>
      <c r="G128" s="13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 t="str">
        <f t="shared" si="19"/>
        <v>01:19:32</v>
      </c>
      <c r="F129" s="1">
        <f t="shared" si="20"/>
        <v>86</v>
      </c>
      <c r="G129" s="13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TIMEVALUE(VLOOKUP(A130,E_Table,2,FALSE))</f>
        <v>0.34416666666666668</v>
      </c>
      <c r="D130" s="12">
        <f t="shared" ref="D130:D150" si="23">TIMEVALUE(VLOOKUP(A130,E_Table,3,FALSE))</f>
        <v>0.12054398148148149</v>
      </c>
      <c r="E130" s="12" t="str">
        <f t="shared" ref="E130:E150" si="24">VLOOKUP(A130,B_Table,9,FALSE)</f>
        <v>04:35:37</v>
      </c>
      <c r="F130" s="1">
        <f t="shared" ref="F130:F150" si="25">VLOOKUP(A130,E_Table,4,0)</f>
        <v>87</v>
      </c>
      <c r="G130" s="13">
        <f t="shared" ref="G130:G150" si="26">VLOOKUP(A130,E_Table,6,0)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 t="str">
        <f t="shared" si="24"/>
        <v>01:09:51</v>
      </c>
      <c r="F131" s="1">
        <f t="shared" si="25"/>
        <v>88</v>
      </c>
      <c r="G131" s="13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 t="str">
        <f t="shared" si="24"/>
        <v>01:57:15</v>
      </c>
      <c r="F132" s="1">
        <f t="shared" si="25"/>
        <v>89</v>
      </c>
      <c r="G132" s="13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 t="str">
        <f t="shared" si="24"/>
        <v>04:36:20</v>
      </c>
      <c r="F133" s="1">
        <f t="shared" si="25"/>
        <v>90</v>
      </c>
      <c r="G133" s="13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 t="str">
        <f t="shared" si="24"/>
        <v>01:14:24</v>
      </c>
      <c r="F134" s="1">
        <f t="shared" si="25"/>
        <v>91</v>
      </c>
      <c r="G134" s="13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 t="str">
        <f t="shared" si="24"/>
        <v>03:56:57</v>
      </c>
      <c r="F135" s="1">
        <f t="shared" si="25"/>
        <v>92</v>
      </c>
      <c r="G135" s="13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 t="str">
        <f t="shared" si="24"/>
        <v>02:16:51</v>
      </c>
      <c r="F136" s="1">
        <f t="shared" si="25"/>
        <v>93</v>
      </c>
      <c r="G136" s="13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 t="str">
        <f t="shared" si="24"/>
        <v>02:06:43</v>
      </c>
      <c r="F137" s="1">
        <f t="shared" si="25"/>
        <v>94</v>
      </c>
      <c r="G137" s="13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 t="str">
        <f t="shared" si="24"/>
        <v>01:08:15</v>
      </c>
      <c r="F138" s="1">
        <f t="shared" si="25"/>
        <v>95</v>
      </c>
      <c r="G138" s="13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 t="str">
        <f t="shared" si="24"/>
        <v>03:46:52</v>
      </c>
      <c r="F139" s="1">
        <f t="shared" si="25"/>
        <v>96</v>
      </c>
      <c r="G139" s="13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 t="str">
        <f t="shared" si="24"/>
        <v>02:17:05</v>
      </c>
      <c r="F140" s="1">
        <f t="shared" si="25"/>
        <v>97</v>
      </c>
      <c r="G140" s="13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 t="str">
        <f t="shared" si="24"/>
        <v>01:10:21</v>
      </c>
      <c r="F141" s="1">
        <f t="shared" si="25"/>
        <v>98</v>
      </c>
      <c r="G141" s="13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 t="str">
        <f t="shared" si="24"/>
        <v>04:32:37</v>
      </c>
      <c r="F142" s="1">
        <f t="shared" si="25"/>
        <v>99</v>
      </c>
      <c r="G142" s="13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 t="str">
        <f t="shared" si="24"/>
        <v>01:14:44</v>
      </c>
      <c r="F143" s="1">
        <f t="shared" si="25"/>
        <v>100</v>
      </c>
      <c r="G143" s="13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 t="str">
        <f t="shared" si="24"/>
        <v>05:03:34</v>
      </c>
      <c r="F144" s="1">
        <f t="shared" si="25"/>
        <v>101</v>
      </c>
      <c r="G144" s="13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 t="str">
        <f t="shared" si="24"/>
        <v>01:12:04</v>
      </c>
      <c r="F145" s="1">
        <f t="shared" si="25"/>
        <v>102</v>
      </c>
      <c r="G145" s="13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 t="str">
        <f t="shared" si="24"/>
        <v>00:56:05</v>
      </c>
      <c r="F146" s="1">
        <f t="shared" si="25"/>
        <v>103</v>
      </c>
      <c r="G146" s="13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 t="str">
        <f t="shared" si="24"/>
        <v>04:02:30</v>
      </c>
      <c r="F147" s="1">
        <f t="shared" si="25"/>
        <v>104</v>
      </c>
      <c r="G147" s="13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 t="str">
        <f t="shared" si="24"/>
        <v>01:12:11</v>
      </c>
      <c r="F148" s="1">
        <f t="shared" si="25"/>
        <v>105</v>
      </c>
      <c r="G148" s="13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 t="str">
        <f t="shared" si="24"/>
        <v>00:15:03</v>
      </c>
      <c r="F149" s="1">
        <f t="shared" si="25"/>
        <v>106</v>
      </c>
      <c r="G149" s="13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 t="str">
        <f t="shared" si="24"/>
        <v>02:16:51</v>
      </c>
      <c r="F150" s="1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19B2A-0F2B-463A-9778-90E98EDD1CFD}">
  <sheetPr codeName="Sheet1"/>
  <dimension ref="A1:E10"/>
  <sheetViews>
    <sheetView tabSelected="1" zoomScale="131" workbookViewId="0">
      <selection activeCell="F7" sqref="F7"/>
    </sheetView>
  </sheetViews>
  <sheetFormatPr defaultRowHeight="14.4" x14ac:dyDescent="0.3"/>
  <cols>
    <col min="1" max="1" width="15.109375" customWidth="1"/>
    <col min="2" max="2" width="40.21875" customWidth="1"/>
    <col min="3" max="3" width="3.5546875" customWidth="1"/>
    <col min="4" max="4" width="15.109375" customWidth="1"/>
    <col min="5" max="5" width="40.21875" customWidth="1"/>
  </cols>
  <sheetData>
    <row r="1" spans="1:5" x14ac:dyDescent="0.3">
      <c r="A1" s="16"/>
      <c r="B1" s="16"/>
      <c r="C1" s="17">
        <v>6</v>
      </c>
      <c r="D1" s="16"/>
      <c r="E1" s="16"/>
    </row>
    <row r="2" spans="1:5" x14ac:dyDescent="0.3">
      <c r="A2" s="16"/>
      <c r="B2" s="16"/>
      <c r="C2" s="17">
        <v>5</v>
      </c>
      <c r="D2" s="16"/>
      <c r="E2" s="16"/>
    </row>
    <row r="3" spans="1:5" ht="18.600000000000001" customHeight="1" x14ac:dyDescent="0.3">
      <c r="A3" s="19" t="s">
        <v>1010</v>
      </c>
      <c r="B3" s="19"/>
      <c r="D3" s="19" t="s">
        <v>1011</v>
      </c>
      <c r="E3" s="19"/>
    </row>
    <row r="4" spans="1:5" x14ac:dyDescent="0.3">
      <c r="A4" s="15" t="s">
        <v>1008</v>
      </c>
      <c r="B4" t="s">
        <v>1009</v>
      </c>
      <c r="D4" s="15" t="s">
        <v>1008</v>
      </c>
      <c r="E4" t="s">
        <v>1012</v>
      </c>
    </row>
    <row r="5" spans="1:5" x14ac:dyDescent="0.3">
      <c r="A5" s="14" t="s">
        <v>1013</v>
      </c>
      <c r="B5" s="12">
        <v>0.38646990740740739</v>
      </c>
      <c r="D5" s="14" t="s">
        <v>1003</v>
      </c>
      <c r="E5" s="18">
        <v>2.0905948641136138</v>
      </c>
    </row>
    <row r="6" spans="1:5" x14ac:dyDescent="0.3">
      <c r="A6" s="14" t="s">
        <v>1003</v>
      </c>
      <c r="B6" s="12">
        <v>1.3668402777777779</v>
      </c>
      <c r="D6" s="14" t="s">
        <v>1004</v>
      </c>
      <c r="E6" s="18">
        <v>1.064298009533315</v>
      </c>
    </row>
    <row r="7" spans="1:5" x14ac:dyDescent="0.3">
      <c r="A7" s="14" t="s">
        <v>1004</v>
      </c>
      <c r="B7" s="12">
        <v>0.66396990740740747</v>
      </c>
      <c r="D7" s="14" t="s">
        <v>1005</v>
      </c>
      <c r="E7" s="18">
        <v>1.122824596941316</v>
      </c>
    </row>
    <row r="8" spans="1:5" x14ac:dyDescent="0.3">
      <c r="A8" s="14" t="s">
        <v>1005</v>
      </c>
      <c r="B8" s="12">
        <v>0.67937500000000006</v>
      </c>
      <c r="D8" s="14" t="s">
        <v>1006</v>
      </c>
      <c r="E8" s="18">
        <v>1.7236731368386569</v>
      </c>
    </row>
    <row r="9" spans="1:5" x14ac:dyDescent="0.3">
      <c r="A9" s="14" t="s">
        <v>1006</v>
      </c>
      <c r="B9" s="12">
        <v>1.0142939814814815</v>
      </c>
      <c r="D9" s="14" t="s">
        <v>1007</v>
      </c>
      <c r="E9" s="18">
        <v>0.80510133036211395</v>
      </c>
    </row>
    <row r="10" spans="1:5" x14ac:dyDescent="0.3">
      <c r="A10" s="14" t="s">
        <v>1007</v>
      </c>
      <c r="B10" s="12">
        <v>0.67259259259259263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5" name="Spinner 3">
              <controlPr defaultSize="0" autoPict="0" macro="[0]!HarshalDesh">
                <anchor moveWithCells="1" sizeWithCells="1">
                  <from>
                    <xdr:col>1</xdr:col>
                    <xdr:colOff>2461260</xdr:colOff>
                    <xdr:row>9</xdr:row>
                    <xdr:rowOff>160020</xdr:rowOff>
                  </from>
                  <to>
                    <xdr:col>1</xdr:col>
                    <xdr:colOff>2651760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Spinner 2">
              <controlPr defaultSize="0" autoPict="0" macro="[0]!HarshalDesh">
                <anchor moveWithCells="1" sizeWithCells="1">
                  <from>
                    <xdr:col>1</xdr:col>
                    <xdr:colOff>906780</xdr:colOff>
                    <xdr:row>0</xdr:row>
                    <xdr:rowOff>68580</xdr:rowOff>
                  </from>
                  <to>
                    <xdr:col>1</xdr:col>
                    <xdr:colOff>1043940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7" name="Spinner 11">
              <controlPr defaultSize="0" autoPict="0" macro="[0]!HarshalRepeat2">
                <anchor moveWithCells="1" sizeWithCells="1">
                  <from>
                    <xdr:col>4</xdr:col>
                    <xdr:colOff>914400</xdr:colOff>
                    <xdr:row>0</xdr:row>
                    <xdr:rowOff>53340</xdr:rowOff>
                  </from>
                  <to>
                    <xdr:col>4</xdr:col>
                    <xdr:colOff>1051560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Spinner 13">
              <controlPr defaultSize="0" autoPict="0" macro="[0]!HarshalRepeat2">
                <anchor moveWithCells="1" sizeWithCells="1">
                  <from>
                    <xdr:col>4</xdr:col>
                    <xdr:colOff>2468880</xdr:colOff>
                    <xdr:row>9</xdr:row>
                    <xdr:rowOff>114300</xdr:rowOff>
                  </from>
                  <to>
                    <xdr:col>4</xdr:col>
                    <xdr:colOff>2659380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Efficiancy</vt:lpstr>
      <vt:lpstr>Over All Information</vt:lpstr>
      <vt:lpstr>Summry</vt:lpstr>
      <vt:lpstr>DeshBoard</vt:lpstr>
      <vt:lpstr>B_Table</vt:lpstr>
      <vt:lpstr>E_Table</vt:lpstr>
      <vt:lpstr>O_Table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 SHAH</dc:creator>
  <cp:lastModifiedBy>HARSHAL SHAH</cp:lastModifiedBy>
  <dcterms:created xsi:type="dcterms:W3CDTF">2025-07-21T13:25:32Z</dcterms:created>
  <dcterms:modified xsi:type="dcterms:W3CDTF">2025-07-24T15:30:59Z</dcterms:modified>
</cp:coreProperties>
</file>